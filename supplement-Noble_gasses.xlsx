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fm/Library/CloudStorage/GoogleDrive-mcdonoug@umd.edu/My Drive/"/>
    </mc:Choice>
  </mc:AlternateContent>
  <xr:revisionPtr revIDLastSave="0" documentId="13_ncr:11_{EBAB1DDF-0AF7-184B-B1B5-7ACFA657915B}" xr6:coauthVersionLast="47" xr6:coauthVersionMax="47" xr10:uidLastSave="{00000000-0000-0000-0000-000000000000}"/>
  <bookViews>
    <workbookView xWindow="11960" yWindow="2740" windowWidth="34320" windowHeight="25400" xr2:uid="{B14D6005-5DDC-934F-8323-7D042C7B2206}"/>
  </bookViews>
  <sheets>
    <sheet name="Table 7" sheetId="3" r:id="rId1"/>
    <sheet name="Ar budget" sheetId="1" r:id="rId2"/>
    <sheet name="alternative budget" sheetId="2" r:id="rId3"/>
  </sheets>
  <externalReferences>
    <externalReference r:id="rId4"/>
  </externalReferences>
  <definedNames>
    <definedName name="_xlnm.Print_Area" localSheetId="2">'alternative budget'!$B$4:$M$40</definedName>
    <definedName name="_xlnm.Print_Area" localSheetId="1">'Ar budget'!$B$2:$M$38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2" l="1"/>
  <c r="H39" i="2" s="1"/>
  <c r="G38" i="2"/>
  <c r="I38" i="2" s="1"/>
  <c r="E38" i="2"/>
  <c r="F38" i="2" s="1"/>
  <c r="H37" i="2"/>
  <c r="H36" i="2"/>
  <c r="G32" i="2"/>
  <c r="E26" i="2"/>
  <c r="L25" i="2"/>
  <c r="H25" i="2"/>
  <c r="H24" i="2"/>
  <c r="E21" i="2"/>
  <c r="E20" i="2"/>
  <c r="H14" i="2"/>
  <c r="E14" i="2"/>
  <c r="H13" i="2"/>
  <c r="E13" i="2"/>
  <c r="H12" i="2"/>
  <c r="E12" i="2"/>
  <c r="H11" i="2"/>
  <c r="E11" i="2"/>
  <c r="H10" i="2"/>
  <c r="E10" i="2"/>
  <c r="H9" i="2"/>
  <c r="E9" i="2"/>
  <c r="H8" i="2"/>
  <c r="E8" i="2"/>
  <c r="H7" i="2"/>
  <c r="E7" i="2"/>
  <c r="B7" i="2"/>
  <c r="B8" i="2" s="1"/>
  <c r="B9" i="2" s="1"/>
  <c r="B10" i="2" s="1"/>
  <c r="B11" i="2" s="1"/>
  <c r="B12" i="2" s="1"/>
  <c r="B13" i="2" s="1"/>
  <c r="I6" i="2"/>
  <c r="L23" i="2" s="1"/>
  <c r="H36" i="1"/>
  <c r="H37" i="1" s="1"/>
  <c r="H35" i="1"/>
  <c r="H34" i="1"/>
  <c r="G30" i="1"/>
  <c r="E24" i="1"/>
  <c r="H23" i="1"/>
  <c r="L22" i="1"/>
  <c r="H22" i="1"/>
  <c r="E19" i="1"/>
  <c r="E18" i="1"/>
  <c r="J12" i="1"/>
  <c r="E36" i="1" s="1"/>
  <c r="I12" i="1"/>
  <c r="G36" i="1" s="1"/>
  <c r="H12" i="1"/>
  <c r="E12" i="1"/>
  <c r="I11" i="1"/>
  <c r="J11" i="1" s="1"/>
  <c r="H11" i="1"/>
  <c r="E11" i="1"/>
  <c r="J10" i="1"/>
  <c r="I10" i="1"/>
  <c r="H10" i="1"/>
  <c r="E10" i="1"/>
  <c r="I9" i="1"/>
  <c r="J9" i="1" s="1"/>
  <c r="H9" i="1"/>
  <c r="E9" i="1"/>
  <c r="I8" i="1"/>
  <c r="J8" i="1" s="1"/>
  <c r="H8" i="1"/>
  <c r="E8" i="1"/>
  <c r="I7" i="1"/>
  <c r="J7" i="1" s="1"/>
  <c r="H7" i="1"/>
  <c r="E7" i="1"/>
  <c r="I6" i="1"/>
  <c r="J6" i="1" s="1"/>
  <c r="H6" i="1"/>
  <c r="E6" i="1"/>
  <c r="I5" i="1"/>
  <c r="J5" i="1" s="1"/>
  <c r="H5" i="1"/>
  <c r="E5" i="1"/>
  <c r="B5" i="1"/>
  <c r="B6" i="1" s="1"/>
  <c r="B7" i="1" s="1"/>
  <c r="B8" i="1" s="1"/>
  <c r="B9" i="1" s="1"/>
  <c r="B10" i="1" s="1"/>
  <c r="B11" i="1" s="1"/>
  <c r="I4" i="1"/>
  <c r="L20" i="1" s="1"/>
  <c r="J4" i="1" l="1"/>
  <c r="L23" i="1"/>
  <c r="F4" i="1" s="1"/>
  <c r="G4" i="1" s="1"/>
  <c r="J6" i="2"/>
  <c r="L26" i="2"/>
  <c r="C11" i="2" s="1"/>
  <c r="I20" i="2"/>
  <c r="I21" i="2" s="1"/>
  <c r="B14" i="2"/>
  <c r="F10" i="2"/>
  <c r="G10" i="2" s="1"/>
  <c r="C7" i="2"/>
  <c r="F13" i="2"/>
  <c r="C14" i="2"/>
  <c r="C6" i="2"/>
  <c r="F8" i="2"/>
  <c r="G8" i="2" s="1"/>
  <c r="C9" i="2"/>
  <c r="F7" i="2"/>
  <c r="G7" i="2" s="1"/>
  <c r="C8" i="2"/>
  <c r="F32" i="2"/>
  <c r="C6" i="1"/>
  <c r="F9" i="1"/>
  <c r="G9" i="1" s="1"/>
  <c r="F5" i="1"/>
  <c r="G5" i="1" s="1"/>
  <c r="I18" i="1"/>
  <c r="I19" i="1" s="1"/>
  <c r="B12" i="1"/>
  <c r="I36" i="1"/>
  <c r="F36" i="1"/>
  <c r="F30" i="1"/>
  <c r="F6" i="1" l="1"/>
  <c r="C7" i="1"/>
  <c r="C12" i="1"/>
  <c r="F7" i="1"/>
  <c r="G7" i="1" s="1"/>
  <c r="C8" i="1"/>
  <c r="F8" i="1"/>
  <c r="G8" i="1" s="1"/>
  <c r="C9" i="1"/>
  <c r="C12" i="2"/>
  <c r="K12" i="2" s="1"/>
  <c r="C13" i="2"/>
  <c r="C10" i="2"/>
  <c r="F6" i="2"/>
  <c r="G6" i="2" s="1"/>
  <c r="F14" i="2"/>
  <c r="G14" i="2" s="1"/>
  <c r="C10" i="1"/>
  <c r="F10" i="1"/>
  <c r="G10" i="1" s="1"/>
  <c r="C11" i="1"/>
  <c r="C5" i="1"/>
  <c r="D5" i="1" s="1"/>
  <c r="L5" i="1" s="1"/>
  <c r="L13" i="1" s="1"/>
  <c r="F11" i="1"/>
  <c r="G11" i="1" s="1"/>
  <c r="C4" i="1"/>
  <c r="F11" i="2"/>
  <c r="G11" i="2" s="1"/>
  <c r="F12" i="2"/>
  <c r="G12" i="2" s="1"/>
  <c r="F9" i="2"/>
  <c r="G9" i="2" s="1"/>
  <c r="D6" i="2"/>
  <c r="L6" i="2" s="1"/>
  <c r="K6" i="2"/>
  <c r="D12" i="2"/>
  <c r="D10" i="2"/>
  <c r="L10" i="2" s="1"/>
  <c r="K10" i="2"/>
  <c r="F15" i="2"/>
  <c r="G37" i="2" s="1"/>
  <c r="G13" i="2"/>
  <c r="G15" i="2" s="1"/>
  <c r="E37" i="2" s="1"/>
  <c r="K8" i="2"/>
  <c r="D8" i="2"/>
  <c r="L8" i="2" s="1"/>
  <c r="D14" i="2"/>
  <c r="D9" i="2"/>
  <c r="L9" i="2" s="1"/>
  <c r="K9" i="2"/>
  <c r="C15" i="2"/>
  <c r="D13" i="2"/>
  <c r="K13" i="2"/>
  <c r="D7" i="2"/>
  <c r="L7" i="2" s="1"/>
  <c r="K7" i="2"/>
  <c r="M7" i="2" s="1"/>
  <c r="H32" i="2"/>
  <c r="D11" i="2"/>
  <c r="L11" i="2" s="1"/>
  <c r="K11" i="2"/>
  <c r="D12" i="1"/>
  <c r="F13" i="1"/>
  <c r="G35" i="1" s="1"/>
  <c r="G6" i="1"/>
  <c r="G13" i="1" s="1"/>
  <c r="E35" i="1" s="1"/>
  <c r="D8" i="1"/>
  <c r="L8" i="1" s="1"/>
  <c r="K8" i="1"/>
  <c r="M8" i="1" s="1"/>
  <c r="D10" i="1"/>
  <c r="K10" i="1"/>
  <c r="D7" i="1"/>
  <c r="K7" i="1"/>
  <c r="H30" i="1"/>
  <c r="F12" i="1"/>
  <c r="G12" i="1" s="1"/>
  <c r="K5" i="1"/>
  <c r="D9" i="1"/>
  <c r="L9" i="1" s="1"/>
  <c r="K9" i="1"/>
  <c r="M9" i="1" s="1"/>
  <c r="C13" i="1"/>
  <c r="D6" i="1"/>
  <c r="K6" i="1"/>
  <c r="D4" i="1"/>
  <c r="L4" i="1" s="1"/>
  <c r="K4" i="1"/>
  <c r="D11" i="1"/>
  <c r="L11" i="1" s="1"/>
  <c r="K11" i="1"/>
  <c r="M4" i="1" l="1"/>
  <c r="L7" i="1"/>
  <c r="M7" i="1" s="1"/>
  <c r="M9" i="2"/>
  <c r="M10" i="2"/>
  <c r="M6" i="2"/>
  <c r="L14" i="2"/>
  <c r="L12" i="2"/>
  <c r="M12" i="2" s="1"/>
  <c r="M11" i="1"/>
  <c r="L10" i="1"/>
  <c r="M10" i="1" s="1"/>
  <c r="K14" i="2"/>
  <c r="G36" i="2"/>
  <c r="G39" i="2" s="1"/>
  <c r="C16" i="2"/>
  <c r="F37" i="2"/>
  <c r="D15" i="2"/>
  <c r="L13" i="2"/>
  <c r="L15" i="2" s="1"/>
  <c r="M11" i="2"/>
  <c r="I37" i="2"/>
  <c r="M14" i="2"/>
  <c r="M8" i="2"/>
  <c r="E23" i="1"/>
  <c r="G29" i="1"/>
  <c r="L15" i="1"/>
  <c r="E22" i="1"/>
  <c r="F22" i="1" s="1"/>
  <c r="G28" i="1"/>
  <c r="L6" i="1"/>
  <c r="M6" i="1" s="1"/>
  <c r="D13" i="1"/>
  <c r="G34" i="1"/>
  <c r="C14" i="1"/>
  <c r="F35" i="1"/>
  <c r="I35" i="1"/>
  <c r="G37" i="1"/>
  <c r="K12" i="1"/>
  <c r="M5" i="1"/>
  <c r="L12" i="1"/>
  <c r="D16" i="2" l="1"/>
  <c r="E36" i="2"/>
  <c r="I36" i="2" s="1"/>
  <c r="G31" i="2"/>
  <c r="E25" i="2"/>
  <c r="L17" i="2"/>
  <c r="E24" i="2"/>
  <c r="F24" i="2" s="1"/>
  <c r="G30" i="2"/>
  <c r="E16" i="2"/>
  <c r="M13" i="2"/>
  <c r="L37" i="1"/>
  <c r="L36" i="1"/>
  <c r="F28" i="1"/>
  <c r="H28" i="1" s="1"/>
  <c r="E28" i="1"/>
  <c r="F29" i="1"/>
  <c r="E29" i="1"/>
  <c r="G31" i="1"/>
  <c r="D14" i="1"/>
  <c r="E14" i="1" s="1"/>
  <c r="E34" i="1"/>
  <c r="L35" i="1"/>
  <c r="M12" i="1"/>
  <c r="L34" i="1"/>
  <c r="F23" i="1"/>
  <c r="F25" i="1" s="1"/>
  <c r="E25" i="1"/>
  <c r="F25" i="2" l="1"/>
  <c r="F27" i="2" s="1"/>
  <c r="E27" i="2"/>
  <c r="F36" i="2"/>
  <c r="F39" i="2" s="1"/>
  <c r="E39" i="2"/>
  <c r="F30" i="2"/>
  <c r="H30" i="2" s="1"/>
  <c r="E30" i="2"/>
  <c r="F31" i="2"/>
  <c r="E31" i="2"/>
  <c r="G33" i="2"/>
  <c r="F34" i="1"/>
  <c r="E37" i="1"/>
  <c r="G25" i="1"/>
  <c r="H25" i="1" s="1"/>
  <c r="E31" i="1"/>
  <c r="I31" i="1" s="1"/>
  <c r="I34" i="1"/>
  <c r="H29" i="1"/>
  <c r="F31" i="1"/>
  <c r="H31" i="1" s="1"/>
  <c r="H31" i="2" l="1"/>
  <c r="F33" i="2"/>
  <c r="H33" i="2" s="1"/>
  <c r="J39" i="2"/>
  <c r="J38" i="2"/>
  <c r="J37" i="2"/>
  <c r="I39" i="2"/>
  <c r="J36" i="2"/>
  <c r="E33" i="2"/>
  <c r="I33" i="2" s="1"/>
  <c r="G27" i="2"/>
  <c r="H27" i="2" s="1"/>
  <c r="J37" i="1"/>
  <c r="J36" i="1"/>
  <c r="J35" i="1"/>
  <c r="I37" i="1"/>
  <c r="F37" i="1"/>
  <c r="J34" i="1"/>
  <c r="K37" i="1" l="1"/>
  <c r="K36" i="1"/>
  <c r="K35" i="1"/>
  <c r="K34" i="1"/>
</calcChain>
</file>

<file path=xl/sharedStrings.xml><?xml version="1.0" encoding="utf-8"?>
<sst xmlns="http://schemas.openxmlformats.org/spreadsheetml/2006/main" count="161" uniqueCount="53">
  <si>
    <t>fraction of 40 Ar in DM</t>
  </si>
  <si>
    <t>DM = 30000</t>
  </si>
  <si>
    <t>EM = 9000</t>
  </si>
  <si>
    <t>atm = 298.6</t>
  </si>
  <si>
    <t>Bulk Silicate Earth</t>
  </si>
  <si>
    <t>moles of 40</t>
  </si>
  <si>
    <t>moles of 36</t>
  </si>
  <si>
    <t>40/36Ar</t>
  </si>
  <si>
    <t>36Ar</t>
  </si>
  <si>
    <t>22Ne</t>
  </si>
  <si>
    <t>3He/22Ne</t>
  </si>
  <si>
    <t>3He/36Ar</t>
  </si>
  <si>
    <t>22Ne/36Ar</t>
  </si>
  <si>
    <t>mass fraction</t>
  </si>
  <si>
    <t>Earth initial</t>
  </si>
  <si>
    <t>MORB source</t>
  </si>
  <si>
    <t>OIB source</t>
  </si>
  <si>
    <t>40 Ar in atm (moles)</t>
  </si>
  <si>
    <t>moles of 3He</t>
  </si>
  <si>
    <t>moles of 4He</t>
  </si>
  <si>
    <t>4He/3He</t>
  </si>
  <si>
    <t>R/Ra</t>
  </si>
  <si>
    <t>initial 40/36Ar value</t>
  </si>
  <si>
    <t>40 Ar (moles) produced in BSE</t>
  </si>
  <si>
    <t>40 Ar in mantle (moles)</t>
  </si>
  <si>
    <t>atmosphere</t>
  </si>
  <si>
    <t xml:space="preserve"> --</t>
  </si>
  <si>
    <t xml:space="preserve"> </t>
  </si>
  <si>
    <t>mantle + atm</t>
  </si>
  <si>
    <t>moles of 20Ne</t>
  </si>
  <si>
    <t>moles of 21Ne</t>
  </si>
  <si>
    <t>moles of 22Ne</t>
  </si>
  <si>
    <t>21Ne/22Ne</t>
  </si>
  <si>
    <t>20Ne/22Ne</t>
  </si>
  <si>
    <t>moles of 36Ar</t>
  </si>
  <si>
    <t>moles of 38Ar</t>
  </si>
  <si>
    <t>moles of 40Ar</t>
  </si>
  <si>
    <t>38Ar/36Ar</t>
  </si>
  <si>
    <t>20/22Ne value for Iceland source</t>
  </si>
  <si>
    <t>40/36Ar value for Iceland source</t>
  </si>
  <si>
    <t>82Kr/84Kr value for Iceland source</t>
  </si>
  <si>
    <t>129Xe/130Xe value for Iceland source</t>
  </si>
  <si>
    <t>lower time-integrated K/36Ar ratio of the plume source</t>
  </si>
  <si>
    <t>3He/22Ne value for Iceland source</t>
  </si>
  <si>
    <t xml:space="preserve"> s</t>
  </si>
  <si>
    <t>Table 7: Estimated light noble gas composition for the combined silicate Earth and surface contributions</t>
  </si>
  <si>
    <t>40Ar/36Ar</t>
  </si>
  <si>
    <t>mass fraction∗</t>
  </si>
  <si>
    <t>MORB source∗∗</t>
  </si>
  <si>
    <t>OIB source∗∗</t>
  </si>
  <si>
    <t>–</t>
  </si>
  <si>
    <t>9.5+12</t>
  </si>
  <si>
    <t>∗ mass fraction refers to the amount of noble gasses in this reservoir relative to the whole mantle.
∗∗ average isotopic ratio values are assumed for the MORB and OIB sources. The data for the
atmosphere are from Lee et al. (2006); Porcelli and Pepin (2003) and for the mantle reservoirs are
from Mukhopadhyay (2012); Mukhopadhyay and Parai (2019); Parai et al.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</si>
</sst>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64" formatCode="0.000E+00"/>
    <numFmt numFmtId="165" formatCode="0.000"/>
    <numFmt numFmtId="166" formatCode="0.0000"/>
    <numFmt numFmtId="167" formatCode="0.0E+00"/>
    <numFmt numFmtId="168" formatCode="0.E+00"/>
    <numFmt numFmtId="169" formatCode="0.0"/>
    <numFmt numFmtId="170" formatCode="_(* #,##0.0_);_(* \(#,##0.0\);_(* &quot;-&quot;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E2D5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FFFF00"/>
        <bgColor rgb="FF000000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69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1" fontId="0" fillId="2" borderId="0" xfId="0" applyNumberForma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164" fontId="0" fillId="5" borderId="0" xfId="0" applyNumberFormat="1" applyFill="1"/>
    <xf numFmtId="1" fontId="0" fillId="5" borderId="0" xfId="0" applyNumberFormat="1" applyFill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11" fontId="0" fillId="2" borderId="3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  <xf numFmtId="164" fontId="0" fillId="3" borderId="3" xfId="0" applyNumberFormat="1" applyFill="1" applyBorder="1" applyAlignment="1">
      <alignment horizontal="center" vertical="center"/>
    </xf>
    <xf numFmtId="1" fontId="0" fillId="3" borderId="3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164" fontId="0" fillId="4" borderId="3" xfId="0" applyNumberFormat="1" applyFill="1" applyBorder="1" applyAlignment="1">
      <alignment horizontal="center" vertical="center"/>
    </xf>
    <xf numFmtId="164" fontId="0" fillId="5" borderId="3" xfId="0" applyNumberFormat="1" applyFill="1" applyBorder="1"/>
    <xf numFmtId="1" fontId="0" fillId="5" borderId="4" xfId="0" applyNumberFormat="1" applyFill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/>
    <xf numFmtId="164" fontId="0" fillId="0" borderId="0" xfId="0" applyNumberFormat="1"/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8" xfId="0" applyFill="1" applyBorder="1" applyAlignment="1">
      <alignment horizontal="right"/>
    </xf>
    <xf numFmtId="3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6" borderId="9" xfId="0" applyFill="1" applyBorder="1" applyAlignment="1">
      <alignment horizontal="center"/>
    </xf>
    <xf numFmtId="0" fontId="0" fillId="2" borderId="10" xfId="0" applyFill="1" applyBorder="1" applyAlignment="1">
      <alignment horizontal="right"/>
    </xf>
    <xf numFmtId="3" fontId="0" fillId="2" borderId="11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7" fontId="0" fillId="2" borderId="0" xfId="0" applyNumberFormat="1" applyFill="1" applyAlignment="1">
      <alignment horizontal="center"/>
    </xf>
    <xf numFmtId="41" fontId="0" fillId="2" borderId="0" xfId="1" applyFont="1" applyFill="1" applyBorder="1" applyAlignment="1">
      <alignment horizontal="center"/>
    </xf>
    <xf numFmtId="1" fontId="0" fillId="0" borderId="9" xfId="0" applyNumberForma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7" fontId="0" fillId="2" borderId="11" xfId="0" applyNumberFormat="1" applyFill="1" applyBorder="1" applyAlignment="1">
      <alignment horizontal="center"/>
    </xf>
    <xf numFmtId="41" fontId="0" fillId="2" borderId="11" xfId="1" applyFont="1" applyFill="1" applyBorder="1" applyAlignment="1">
      <alignment horizontal="center"/>
    </xf>
    <xf numFmtId="0" fontId="0" fillId="0" borderId="12" xfId="0" applyBorder="1" applyAlignment="1">
      <alignment horizontal="center" vertical="center"/>
    </xf>
    <xf numFmtId="41" fontId="0" fillId="0" borderId="0" xfId="1" applyFont="1" applyBorder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0" fontId="0" fillId="2" borderId="9" xfId="0" applyFill="1" applyBorder="1" applyAlignment="1">
      <alignment horizontal="center"/>
    </xf>
    <xf numFmtId="41" fontId="0" fillId="0" borderId="0" xfId="1" applyFont="1" applyAlignment="1">
      <alignment horizontal="center" vertical="center"/>
    </xf>
    <xf numFmtId="168" fontId="0" fillId="0" borderId="0" xfId="0" applyNumberFormat="1"/>
    <xf numFmtId="167" fontId="0" fillId="0" borderId="0" xfId="0" applyNumberFormat="1"/>
    <xf numFmtId="1" fontId="0" fillId="0" borderId="0" xfId="0" applyNumberFormat="1"/>
    <xf numFmtId="169" fontId="0" fillId="0" borderId="0" xfId="0" applyNumberFormat="1" applyAlignment="1">
      <alignment horizontal="center" vertical="center"/>
    </xf>
    <xf numFmtId="11" fontId="0" fillId="0" borderId="0" xfId="0" applyNumberFormat="1"/>
    <xf numFmtId="0" fontId="0" fillId="0" borderId="10" xfId="0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169" fontId="0" fillId="0" borderId="12" xfId="0" applyNumberFormat="1" applyBorder="1" applyAlignment="1">
      <alignment horizontal="center"/>
    </xf>
    <xf numFmtId="43" fontId="0" fillId="0" borderId="0" xfId="0" applyNumberFormat="1" applyAlignment="1">
      <alignment horizontal="center" vertical="center"/>
    </xf>
    <xf numFmtId="166" fontId="0" fillId="2" borderId="0" xfId="0" applyNumberFormat="1" applyFill="1" applyAlignment="1">
      <alignment horizontal="center"/>
    </xf>
    <xf numFmtId="41" fontId="0" fillId="2" borderId="9" xfId="1" applyFont="1" applyFill="1" applyBorder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170" fontId="0" fillId="2" borderId="9" xfId="1" applyNumberFormat="1" applyFont="1" applyFill="1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41" fontId="0" fillId="0" borderId="12" xfId="1" applyFont="1" applyBorder="1" applyAlignment="1">
      <alignment horizontal="center" vertical="center"/>
    </xf>
    <xf numFmtId="0" fontId="1" fillId="0" borderId="0" xfId="3" applyAlignment="1">
      <alignment horizontal="right"/>
    </xf>
    <xf numFmtId="0" fontId="1" fillId="0" borderId="0" xfId="3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11" fontId="2" fillId="7" borderId="0" xfId="0" applyNumberFormat="1" applyFont="1" applyFill="1" applyAlignment="1">
      <alignment horizontal="center" vertical="center"/>
    </xf>
    <xf numFmtId="1" fontId="2" fillId="7" borderId="0" xfId="0" applyNumberFormat="1" applyFont="1" applyFill="1" applyAlignment="1">
      <alignment horizontal="center" vertical="center"/>
    </xf>
    <xf numFmtId="164" fontId="2" fillId="8" borderId="0" xfId="0" applyNumberFormat="1" applyFont="1" applyFill="1" applyAlignment="1">
      <alignment horizontal="center" vertical="center"/>
    </xf>
    <xf numFmtId="1" fontId="2" fillId="8" borderId="0" xfId="0" applyNumberFormat="1" applyFont="1" applyFill="1" applyAlignment="1">
      <alignment horizontal="center" vertical="center"/>
    </xf>
    <xf numFmtId="164" fontId="2" fillId="9" borderId="0" xfId="0" applyNumberFormat="1" applyFont="1" applyFill="1" applyAlignment="1">
      <alignment horizontal="center" vertical="center"/>
    </xf>
    <xf numFmtId="164" fontId="2" fillId="10" borderId="0" xfId="0" applyNumberFormat="1" applyFont="1" applyFill="1" applyAlignment="1">
      <alignment horizontal="center"/>
    </xf>
    <xf numFmtId="164" fontId="2" fillId="10" borderId="0" xfId="0" applyNumberFormat="1" applyFont="1" applyFill="1"/>
    <xf numFmtId="1" fontId="2" fillId="10" borderId="0" xfId="0" applyNumberFormat="1" applyFont="1" applyFill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11" fontId="2" fillId="7" borderId="3" xfId="0" applyNumberFormat="1" applyFont="1" applyFill="1" applyBorder="1" applyAlignment="1">
      <alignment horizontal="center" vertical="center"/>
    </xf>
    <xf numFmtId="1" fontId="2" fillId="7" borderId="3" xfId="0" applyNumberFormat="1" applyFont="1" applyFill="1" applyBorder="1" applyAlignment="1">
      <alignment horizontal="center" vertical="center"/>
    </xf>
    <xf numFmtId="164" fontId="2" fillId="8" borderId="3" xfId="0" applyNumberFormat="1" applyFont="1" applyFill="1" applyBorder="1" applyAlignment="1">
      <alignment horizontal="center" vertical="center"/>
    </xf>
    <xf numFmtId="1" fontId="2" fillId="8" borderId="3" xfId="0" applyNumberFormat="1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164" fontId="2" fillId="9" borderId="3" xfId="0" applyNumberFormat="1" applyFont="1" applyFill="1" applyBorder="1" applyAlignment="1">
      <alignment horizontal="center" vertical="center"/>
    </xf>
    <xf numFmtId="164" fontId="2" fillId="10" borderId="3" xfId="0" applyNumberFormat="1" applyFont="1" applyFill="1" applyBorder="1" applyAlignment="1">
      <alignment horizontal="center"/>
    </xf>
    <xf numFmtId="164" fontId="2" fillId="10" borderId="3" xfId="0" applyNumberFormat="1" applyFont="1" applyFill="1" applyBorder="1"/>
    <xf numFmtId="1" fontId="2" fillId="10" borderId="4" xfId="0" applyNumberFormat="1" applyFont="1" applyFill="1" applyBorder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/>
    </xf>
    <xf numFmtId="164" fontId="2" fillId="0" borderId="0" xfId="0" applyNumberFormat="1" applyFont="1"/>
    <xf numFmtId="165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7" borderId="8" xfId="0" applyFont="1" applyFill="1" applyBorder="1" applyAlignment="1">
      <alignment horizontal="right"/>
    </xf>
    <xf numFmtId="3" fontId="2" fillId="7" borderId="0" xfId="0" applyNumberFormat="1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11" borderId="9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right"/>
    </xf>
    <xf numFmtId="3" fontId="2" fillId="7" borderId="11" xfId="0" applyNumberFormat="1" applyFont="1" applyFill="1" applyBorder="1" applyAlignment="1">
      <alignment horizontal="center"/>
    </xf>
    <xf numFmtId="0" fontId="2" fillId="7" borderId="11" xfId="0" applyFont="1" applyFill="1" applyBorder="1" applyAlignment="1">
      <alignment horizontal="center"/>
    </xf>
    <xf numFmtId="0" fontId="2" fillId="11" borderId="12" xfId="0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7" fontId="2" fillId="7" borderId="0" xfId="0" applyNumberFormat="1" applyFont="1" applyFill="1" applyAlignment="1">
      <alignment horizontal="center"/>
    </xf>
    <xf numFmtId="41" fontId="2" fillId="7" borderId="0" xfId="0" applyNumberFormat="1" applyFont="1" applyFill="1" applyAlignment="1">
      <alignment horizontal="center"/>
    </xf>
    <xf numFmtId="1" fontId="2" fillId="0" borderId="9" xfId="0" applyNumberFormat="1" applyFont="1" applyBorder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11" borderId="0" xfId="0" applyFont="1" applyFill="1" applyAlignment="1">
      <alignment horizontal="right"/>
    </xf>
    <xf numFmtId="164" fontId="2" fillId="11" borderId="0" xfId="0" applyNumberFormat="1" applyFont="1" applyFill="1" applyAlignment="1">
      <alignment horizontal="center" vertical="center"/>
    </xf>
    <xf numFmtId="167" fontId="2" fillId="7" borderId="11" xfId="0" applyNumberFormat="1" applyFont="1" applyFill="1" applyBorder="1" applyAlignment="1">
      <alignment horizontal="center"/>
    </xf>
    <xf numFmtId="41" fontId="2" fillId="7" borderId="11" xfId="0" applyNumberFormat="1" applyFont="1" applyFill="1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41" fontId="2" fillId="0" borderId="0" xfId="0" applyNumberFormat="1" applyFont="1" applyAlignment="1">
      <alignment horizontal="center" vertical="center"/>
    </xf>
    <xf numFmtId="165" fontId="2" fillId="7" borderId="0" xfId="0" applyNumberFormat="1" applyFont="1" applyFill="1" applyAlignment="1">
      <alignment horizontal="center" vertical="center"/>
    </xf>
    <xf numFmtId="0" fontId="2" fillId="7" borderId="9" xfId="0" applyFont="1" applyFill="1" applyBorder="1" applyAlignment="1">
      <alignment horizontal="center"/>
    </xf>
    <xf numFmtId="168" fontId="2" fillId="0" borderId="0" xfId="0" applyNumberFormat="1" applyFont="1"/>
    <xf numFmtId="169" fontId="2" fillId="0" borderId="0" xfId="0" applyNumberFormat="1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67" fontId="2" fillId="0" borderId="11" xfId="0" applyNumberFormat="1" applyFont="1" applyBorder="1" applyAlignment="1">
      <alignment horizontal="center" vertical="center"/>
    </xf>
    <xf numFmtId="165" fontId="2" fillId="0" borderId="11" xfId="0" applyNumberFormat="1" applyFont="1" applyBorder="1" applyAlignment="1">
      <alignment horizontal="center" vertical="center"/>
    </xf>
    <xf numFmtId="169" fontId="2" fillId="0" borderId="12" xfId="0" applyNumberFormat="1" applyFont="1" applyBorder="1" applyAlignment="1">
      <alignment horizontal="center"/>
    </xf>
    <xf numFmtId="43" fontId="2" fillId="0" borderId="0" xfId="0" applyNumberFormat="1" applyFont="1" applyAlignment="1">
      <alignment horizontal="center" vertical="center"/>
    </xf>
    <xf numFmtId="166" fontId="2" fillId="7" borderId="0" xfId="0" applyNumberFormat="1" applyFont="1" applyFill="1" applyAlignment="1">
      <alignment horizontal="center"/>
    </xf>
    <xf numFmtId="41" fontId="2" fillId="7" borderId="9" xfId="0" applyNumberFormat="1" applyFont="1" applyFill="1" applyBorder="1" applyAlignment="1">
      <alignment horizontal="center" vertical="center"/>
    </xf>
    <xf numFmtId="170" fontId="2" fillId="7" borderId="9" xfId="0" applyNumberFormat="1" applyFont="1" applyFill="1" applyBorder="1" applyAlignment="1">
      <alignment horizontal="center" vertical="center"/>
    </xf>
    <xf numFmtId="166" fontId="2" fillId="0" borderId="11" xfId="0" applyNumberFormat="1" applyFont="1" applyBorder="1" applyAlignment="1">
      <alignment horizontal="center" vertical="center"/>
    </xf>
    <xf numFmtId="41" fontId="2" fillId="0" borderId="12" xfId="0" applyNumberFormat="1" applyFont="1" applyBorder="1" applyAlignment="1">
      <alignment horizontal="center" vertical="center"/>
    </xf>
    <xf numFmtId="11" fontId="2" fillId="0" borderId="0" xfId="0" applyNumberFormat="1" applyFont="1"/>
    <xf numFmtId="0" fontId="0" fillId="0" borderId="1" xfId="0" applyBorder="1"/>
    <xf numFmtId="0" fontId="0" fillId="0" borderId="13" xfId="0" applyBorder="1"/>
    <xf numFmtId="0" fontId="0" fillId="0" borderId="13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0" borderId="14" xfId="0" applyBorder="1" applyAlignment="1">
      <alignment horizontal="left" wrapText="1"/>
    </xf>
    <xf numFmtId="0" fontId="0" fillId="0" borderId="14" xfId="0" applyBorder="1" applyAlignment="1">
      <alignment horizontal="left"/>
    </xf>
    <xf numFmtId="0" fontId="0" fillId="0" borderId="0" xfId="0" applyAlignment="1">
      <alignment horizontal="left"/>
    </xf>
  </cellXfs>
  <cellStyles count="4">
    <cellStyle name="Comma [0]" xfId="1" builtinId="6"/>
    <cellStyle name="Normal" xfId="0" builtinId="0"/>
    <cellStyle name="Normal 2" xfId="3" xr:uid="{F74EFDC0-9B1F-6A48-BB2D-BC3FE9F78805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wfm/Library/CloudStorage/GoogleDrive-mcdonoug@umd.edu/My%20Drive/Goldschmidt_paper/Ar%20budget.xlsx" TargetMode="External"/><Relationship Id="rId1" Type="http://schemas.openxmlformats.org/officeDocument/2006/relationships/externalLinkPath" Target="Goldschmidt_paper/Ar%20budg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 calculation"/>
      <sheetName val="Ar budget"/>
      <sheetName val="Ar-abundance_BSE"/>
      <sheetName val="Sheet3"/>
      <sheetName val="Sheet4"/>
      <sheetName val="alternative budget"/>
    </sheetNames>
    <sheetDataSet>
      <sheetData sheetId="0">
        <row r="26">
          <cell r="C26">
            <v>3.7390949193986365E+18</v>
          </cell>
          <cell r="E26">
            <v>3.7283666768573942E+18</v>
          </cell>
        </row>
        <row r="28">
          <cell r="C28">
            <v>1.653E+18</v>
          </cell>
          <cell r="E28">
            <v>1.653E+18</v>
          </cell>
        </row>
        <row r="31">
          <cell r="C31">
            <v>298.60000000000002</v>
          </cell>
          <cell r="E31">
            <v>298.60000000000002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FF1A6-8867-4245-97BE-CD00814664DF}">
  <dimension ref="B2:G24"/>
  <sheetViews>
    <sheetView tabSelected="1" zoomScale="230" zoomScaleNormal="230" workbookViewId="0">
      <selection activeCell="B26" sqref="B26"/>
    </sheetView>
  </sheetViews>
  <sheetFormatPr baseColWidth="10" defaultRowHeight="16" x14ac:dyDescent="0.2"/>
  <cols>
    <col min="1" max="1" width="3.83203125" customWidth="1"/>
    <col min="2" max="2" width="14" bestFit="1" customWidth="1"/>
    <col min="3" max="5" width="15.6640625" style="9" customWidth="1"/>
    <col min="6" max="7" width="13" style="9" customWidth="1"/>
  </cols>
  <sheetData>
    <row r="2" spans="2:7" x14ac:dyDescent="0.2">
      <c r="B2" t="s">
        <v>45</v>
      </c>
    </row>
    <row r="3" spans="2:7" x14ac:dyDescent="0.2">
      <c r="B3" s="163"/>
      <c r="C3" s="164" t="s">
        <v>46</v>
      </c>
      <c r="D3" s="164" t="s">
        <v>10</v>
      </c>
      <c r="E3" s="164" t="s">
        <v>11</v>
      </c>
      <c r="F3" s="164" t="s">
        <v>12</v>
      </c>
      <c r="G3" s="164" t="s">
        <v>47</v>
      </c>
    </row>
    <row r="4" spans="2:7" x14ac:dyDescent="0.2">
      <c r="B4" t="s">
        <v>48</v>
      </c>
      <c r="C4" s="9">
        <v>40000</v>
      </c>
      <c r="D4" s="9">
        <v>6.6</v>
      </c>
      <c r="E4" s="9">
        <v>0.64</v>
      </c>
      <c r="F4" s="9">
        <v>0.12</v>
      </c>
      <c r="G4" s="9">
        <v>0.25</v>
      </c>
    </row>
    <row r="5" spans="2:7" x14ac:dyDescent="0.2">
      <c r="B5" t="s">
        <v>49</v>
      </c>
      <c r="C5" s="9">
        <v>9000</v>
      </c>
      <c r="D5" s="9">
        <v>2.8</v>
      </c>
      <c r="E5" s="9">
        <v>0.82</v>
      </c>
      <c r="F5" s="9">
        <v>0.41</v>
      </c>
      <c r="G5" s="9">
        <v>0.75</v>
      </c>
    </row>
    <row r="6" spans="2:7" x14ac:dyDescent="0.2">
      <c r="B6" s="163"/>
      <c r="C6" s="164" t="s">
        <v>18</v>
      </c>
      <c r="D6" s="164" t="s">
        <v>19</v>
      </c>
      <c r="E6" s="164" t="s">
        <v>20</v>
      </c>
      <c r="F6" s="164" t="s">
        <v>21</v>
      </c>
      <c r="G6" s="164"/>
    </row>
    <row r="7" spans="2:7" x14ac:dyDescent="0.2">
      <c r="B7" t="s">
        <v>15</v>
      </c>
      <c r="C7" s="30">
        <v>3700000000000000</v>
      </c>
      <c r="D7" s="30">
        <v>3.7E+20</v>
      </c>
      <c r="E7" s="9">
        <v>100000</v>
      </c>
      <c r="F7" s="9">
        <v>8</v>
      </c>
    </row>
    <row r="8" spans="2:7" x14ac:dyDescent="0.2">
      <c r="B8" t="s">
        <v>16</v>
      </c>
      <c r="C8" s="30">
        <v>4700000000000000</v>
      </c>
      <c r="D8" s="30">
        <v>2.4E+20</v>
      </c>
      <c r="E8" s="9">
        <v>50000</v>
      </c>
      <c r="F8" s="9">
        <v>15.6</v>
      </c>
    </row>
    <row r="9" spans="2:7" x14ac:dyDescent="0.2">
      <c r="B9" t="s">
        <v>25</v>
      </c>
      <c r="C9" s="30">
        <v>1200000000</v>
      </c>
      <c r="D9" s="30">
        <v>930000000000000</v>
      </c>
      <c r="E9" s="9">
        <v>780000</v>
      </c>
      <c r="F9" s="9" t="s">
        <v>50</v>
      </c>
    </row>
    <row r="10" spans="2:7" x14ac:dyDescent="0.2">
      <c r="B10" t="s">
        <v>28</v>
      </c>
      <c r="C10" s="30">
        <v>8400000000000000</v>
      </c>
      <c r="D10" s="30">
        <v>6E+20</v>
      </c>
      <c r="E10" s="9">
        <v>72000</v>
      </c>
      <c r="F10" s="9">
        <v>11</v>
      </c>
    </row>
    <row r="11" spans="2:7" x14ac:dyDescent="0.2">
      <c r="B11" s="163"/>
      <c r="C11" s="164" t="s">
        <v>29</v>
      </c>
      <c r="D11" s="164" t="s">
        <v>30</v>
      </c>
      <c r="E11" s="164" t="s">
        <v>31</v>
      </c>
      <c r="F11" s="164" t="s">
        <v>32</v>
      </c>
      <c r="G11" s="164" t="s">
        <v>33</v>
      </c>
    </row>
    <row r="12" spans="2:7" x14ac:dyDescent="0.2">
      <c r="B12" t="s">
        <v>15</v>
      </c>
      <c r="C12" s="30">
        <v>8600000000000000</v>
      </c>
      <c r="D12" s="30">
        <v>43000000000000</v>
      </c>
      <c r="E12" s="30">
        <v>690000000000000</v>
      </c>
      <c r="F12" s="9">
        <v>6.2E-2</v>
      </c>
      <c r="G12" s="9">
        <v>12.5</v>
      </c>
    </row>
    <row r="13" spans="2:7" x14ac:dyDescent="0.2">
      <c r="B13" t="s">
        <v>16</v>
      </c>
      <c r="C13" s="30">
        <v>3E+16</v>
      </c>
      <c r="D13" s="30">
        <v>88000000000000</v>
      </c>
      <c r="E13" s="30">
        <v>2400000000000000</v>
      </c>
      <c r="F13" s="9">
        <v>3.7999999999999999E-2</v>
      </c>
      <c r="G13" s="9">
        <v>12.9</v>
      </c>
    </row>
    <row r="14" spans="2:7" x14ac:dyDescent="0.2">
      <c r="B14" t="s">
        <v>25</v>
      </c>
      <c r="C14" s="30">
        <v>3200000000000000</v>
      </c>
      <c r="D14" s="9" t="s">
        <v>51</v>
      </c>
      <c r="E14" s="30">
        <v>330000000000000</v>
      </c>
      <c r="F14" s="9">
        <v>2.9000000000000001E-2</v>
      </c>
      <c r="G14" s="9">
        <v>9.8000000000000007</v>
      </c>
    </row>
    <row r="15" spans="2:7" x14ac:dyDescent="0.2">
      <c r="B15" t="s">
        <v>28</v>
      </c>
      <c r="C15" s="30">
        <v>4.2E+16</v>
      </c>
      <c r="D15" s="30">
        <v>140000000000000</v>
      </c>
      <c r="E15" s="30">
        <v>3400000000000000</v>
      </c>
      <c r="F15" s="9">
        <v>4.2000000000000003E-2</v>
      </c>
      <c r="G15" s="9">
        <v>12.5</v>
      </c>
    </row>
    <row r="16" spans="2:7" x14ac:dyDescent="0.2">
      <c r="B16" s="163"/>
      <c r="C16" s="164" t="s">
        <v>34</v>
      </c>
      <c r="D16" s="164" t="s">
        <v>35</v>
      </c>
      <c r="E16" s="164" t="s">
        <v>36</v>
      </c>
      <c r="F16" s="164" t="s">
        <v>37</v>
      </c>
      <c r="G16" s="164" t="s">
        <v>46</v>
      </c>
    </row>
    <row r="17" spans="2:7" x14ac:dyDescent="0.2">
      <c r="B17" t="s">
        <v>15</v>
      </c>
      <c r="C17" s="30">
        <v>13000000000000</v>
      </c>
      <c r="D17" s="30">
        <v>2500000000000</v>
      </c>
      <c r="E17" s="30">
        <v>5.2E+17</v>
      </c>
      <c r="F17" s="9">
        <v>0.188</v>
      </c>
      <c r="G17" s="9">
        <v>40000</v>
      </c>
    </row>
    <row r="18" spans="2:7" x14ac:dyDescent="0.2">
      <c r="B18" t="s">
        <v>16</v>
      </c>
      <c r="C18" s="30">
        <v>170000000000000</v>
      </c>
      <c r="D18" s="30">
        <v>33000000000000</v>
      </c>
      <c r="E18" s="30">
        <v>1.6E+18</v>
      </c>
      <c r="F18" s="9">
        <v>0.188</v>
      </c>
      <c r="G18" s="9">
        <v>9000</v>
      </c>
    </row>
    <row r="19" spans="2:7" x14ac:dyDescent="0.2">
      <c r="B19" t="s">
        <v>25</v>
      </c>
      <c r="C19" s="30">
        <v>5500000000000000</v>
      </c>
      <c r="D19" s="30">
        <v>1000000000000000</v>
      </c>
      <c r="E19" s="30">
        <v>1.7E+18</v>
      </c>
      <c r="F19" s="9">
        <v>0.188</v>
      </c>
      <c r="G19" s="9">
        <v>298.60000000000002</v>
      </c>
    </row>
    <row r="20" spans="2:7" x14ac:dyDescent="0.2">
      <c r="B20" s="162" t="s">
        <v>28</v>
      </c>
      <c r="C20" s="165">
        <v>5700000000000000</v>
      </c>
      <c r="D20" s="165">
        <v>1100000000000000</v>
      </c>
      <c r="E20" s="165">
        <v>3.7E+18</v>
      </c>
      <c r="F20" s="4">
        <v>0.188</v>
      </c>
      <c r="G20" s="4">
        <v>653</v>
      </c>
    </row>
    <row r="21" spans="2:7" x14ac:dyDescent="0.2">
      <c r="B21" s="166" t="s">
        <v>52</v>
      </c>
      <c r="C21" s="167"/>
      <c r="D21" s="167"/>
      <c r="E21" s="167"/>
      <c r="F21" s="167"/>
      <c r="G21" s="167"/>
    </row>
    <row r="22" spans="2:7" x14ac:dyDescent="0.2">
      <c r="B22" s="168"/>
      <c r="C22" s="168"/>
      <c r="D22" s="168"/>
      <c r="E22" s="168"/>
      <c r="F22" s="168"/>
      <c r="G22" s="168"/>
    </row>
    <row r="23" spans="2:7" x14ac:dyDescent="0.2">
      <c r="B23" s="168"/>
      <c r="C23" s="168"/>
      <c r="D23" s="168"/>
      <c r="E23" s="168"/>
      <c r="F23" s="168"/>
      <c r="G23" s="168"/>
    </row>
    <row r="24" spans="2:7" x14ac:dyDescent="0.2">
      <c r="B24" s="168"/>
      <c r="C24" s="168"/>
      <c r="D24" s="168"/>
      <c r="E24" s="168"/>
      <c r="F24" s="168"/>
      <c r="G24" s="168"/>
    </row>
  </sheetData>
  <mergeCells count="1">
    <mergeCell ref="B21:G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07CBA-36AF-C14A-BA56-7ABAC0194E89}">
  <sheetPr>
    <pageSetUpPr fitToPage="1"/>
  </sheetPr>
  <dimension ref="A2:M46"/>
  <sheetViews>
    <sheetView zoomScale="131" zoomScaleNormal="131" workbookViewId="0">
      <selection activeCell="A41" sqref="A41"/>
    </sheetView>
  </sheetViews>
  <sheetFormatPr baseColWidth="10" defaultRowHeight="16" x14ac:dyDescent="0.2"/>
  <cols>
    <col min="1" max="1" width="45.5" style="1" bestFit="1" customWidth="1"/>
    <col min="2" max="3" width="12.1640625" style="9" bestFit="1" customWidth="1"/>
    <col min="4" max="4" width="12.33203125" style="9" bestFit="1" customWidth="1"/>
    <col min="5" max="5" width="12.5" style="9" bestFit="1" customWidth="1"/>
    <col min="6" max="6" width="18.33203125" style="9" bestFit="1" customWidth="1"/>
    <col min="7" max="7" width="12.5" style="9" bestFit="1" customWidth="1"/>
    <col min="8" max="8" width="10.5" style="9" bestFit="1" customWidth="1"/>
    <col min="9" max="10" width="12" style="9" bestFit="1" customWidth="1"/>
    <col min="11" max="11" width="14.1640625" customWidth="1"/>
    <col min="12" max="12" width="12" bestFit="1" customWidth="1"/>
    <col min="13" max="13" width="9.6640625" bestFit="1" customWidth="1"/>
  </cols>
  <sheetData>
    <row r="2" spans="1:13" ht="34" x14ac:dyDescent="0.2">
      <c r="B2" s="2" t="s">
        <v>0</v>
      </c>
      <c r="C2" s="3" t="s">
        <v>1</v>
      </c>
      <c r="D2" s="3"/>
      <c r="E2" s="4"/>
      <c r="F2" s="5" t="s">
        <v>2</v>
      </c>
      <c r="G2" s="5"/>
      <c r="H2" s="4"/>
      <c r="I2" s="6" t="s">
        <v>3</v>
      </c>
      <c r="J2" s="6"/>
      <c r="K2" s="7" t="s">
        <v>4</v>
      </c>
      <c r="L2" s="7"/>
      <c r="M2" s="8"/>
    </row>
    <row r="3" spans="1:13" x14ac:dyDescent="0.2">
      <c r="C3" s="10" t="s">
        <v>5</v>
      </c>
      <c r="D3" s="10" t="s">
        <v>6</v>
      </c>
      <c r="E3" s="10" t="s">
        <v>7</v>
      </c>
      <c r="F3" s="11" t="s">
        <v>5</v>
      </c>
      <c r="G3" s="11" t="s">
        <v>6</v>
      </c>
      <c r="H3" s="11"/>
      <c r="I3" s="12" t="s">
        <v>5</v>
      </c>
      <c r="J3" s="12" t="s">
        <v>6</v>
      </c>
      <c r="K3" s="13" t="s">
        <v>5</v>
      </c>
      <c r="L3" s="13" t="s">
        <v>6</v>
      </c>
      <c r="M3" s="13"/>
    </row>
    <row r="4" spans="1:13" x14ac:dyDescent="0.2">
      <c r="B4" s="9">
        <v>0.1</v>
      </c>
      <c r="C4" s="14">
        <f t="shared" ref="C4:C12" si="0">$L$23*B4</f>
        <v>2.0860949193986368E+17</v>
      </c>
      <c r="D4" s="14">
        <f>C4/E4</f>
        <v>5215237298496.5918</v>
      </c>
      <c r="E4" s="15">
        <v>40000</v>
      </c>
      <c r="F4" s="16">
        <f t="shared" ref="F4:F12" si="1">$L$23*(1-B4)</f>
        <v>1.877485427458773E+18</v>
      </c>
      <c r="G4" s="16">
        <f>F4/H4</f>
        <v>208609491939863.66</v>
      </c>
      <c r="H4" s="17">
        <v>9000</v>
      </c>
      <c r="I4" s="12">
        <f>'[1]Ar calculation'!$C$28</f>
        <v>1.653E+18</v>
      </c>
      <c r="J4" s="18">
        <f>I4/'[1]Ar calculation'!$C$31</f>
        <v>5535833891493637</v>
      </c>
      <c r="K4" s="19">
        <f>C4+F4+I4</f>
        <v>3.7390949193986365E+18</v>
      </c>
      <c r="L4" s="19">
        <f>D4+G4+J4</f>
        <v>5749658620731997</v>
      </c>
      <c r="M4" s="20">
        <f>K4/L4</f>
        <v>650.31598674681095</v>
      </c>
    </row>
    <row r="5" spans="1:13" ht="16" customHeight="1" thickBot="1" x14ac:dyDescent="0.25">
      <c r="B5" s="9">
        <f>B4+0.05</f>
        <v>0.15000000000000002</v>
      </c>
      <c r="C5" s="14">
        <f t="shared" si="0"/>
        <v>3.1291423790979552E+17</v>
      </c>
      <c r="D5" s="14">
        <f t="shared" ref="D5:D12" si="2">C5/E5</f>
        <v>7822855947744.8877</v>
      </c>
      <c r="E5" s="15">
        <f>$E$4</f>
        <v>40000</v>
      </c>
      <c r="F5" s="16">
        <f t="shared" si="1"/>
        <v>1.773180681488841E+18</v>
      </c>
      <c r="G5" s="16">
        <f t="shared" ref="G5:G12" si="3">F5/H5</f>
        <v>197020075720982.34</v>
      </c>
      <c r="H5" s="17">
        <f>$H$4</f>
        <v>9000</v>
      </c>
      <c r="I5" s="12">
        <f>'[1]Ar calculation'!$C$28</f>
        <v>1.653E+18</v>
      </c>
      <c r="J5" s="18">
        <f>I5/'[1]Ar calculation'!$C$31</f>
        <v>5535833891493637</v>
      </c>
      <c r="K5" s="19">
        <f t="shared" ref="K5:L12" si="4">C5+F5+I5</f>
        <v>3.7390949193986365E+18</v>
      </c>
      <c r="L5" s="19">
        <f t="shared" si="4"/>
        <v>5740676823162364</v>
      </c>
      <c r="M5" s="20">
        <f t="shared" ref="M5:M12" si="5">K5/L5</f>
        <v>651.33346373239715</v>
      </c>
    </row>
    <row r="6" spans="1:13" ht="17" thickBot="1" x14ac:dyDescent="0.25">
      <c r="B6" s="21">
        <f>B5+0.1</f>
        <v>0.25</v>
      </c>
      <c r="C6" s="22">
        <f t="shared" si="0"/>
        <v>5.2152372984965914E+17</v>
      </c>
      <c r="D6" s="22">
        <f t="shared" si="2"/>
        <v>13038093246241.479</v>
      </c>
      <c r="E6" s="23">
        <f t="shared" ref="E6:E12" si="6">$E$4</f>
        <v>40000</v>
      </c>
      <c r="F6" s="24">
        <f t="shared" si="1"/>
        <v>1.5645711895489774E+18</v>
      </c>
      <c r="G6" s="24">
        <f t="shared" si="3"/>
        <v>173841243283219.72</v>
      </c>
      <c r="H6" s="25">
        <f t="shared" ref="H6:H12" si="7">$H$4</f>
        <v>9000</v>
      </c>
      <c r="I6" s="26">
        <f>'[1]Ar calculation'!$C$28</f>
        <v>1.653E+18</v>
      </c>
      <c r="J6" s="27">
        <f>I6/'[1]Ar calculation'!$C$31</f>
        <v>5535833891493637</v>
      </c>
      <c r="K6" s="28">
        <f t="shared" si="4"/>
        <v>3.7390949193986365E+18</v>
      </c>
      <c r="L6" s="28">
        <f t="shared" si="4"/>
        <v>5722713228023098</v>
      </c>
      <c r="M6" s="29">
        <f t="shared" si="5"/>
        <v>653.37799928344498</v>
      </c>
    </row>
    <row r="7" spans="1:13" x14ac:dyDescent="0.2">
      <c r="B7" s="9">
        <f t="shared" ref="B7:B12" si="8">B6+0.1</f>
        <v>0.35</v>
      </c>
      <c r="C7" s="14">
        <f t="shared" si="0"/>
        <v>7.3013322178952269E+17</v>
      </c>
      <c r="D7" s="14">
        <f t="shared" si="2"/>
        <v>18253330544738.066</v>
      </c>
      <c r="E7" s="15">
        <f t="shared" si="6"/>
        <v>40000</v>
      </c>
      <c r="F7" s="16">
        <f t="shared" si="1"/>
        <v>1.3559616976091139E+18</v>
      </c>
      <c r="G7" s="16">
        <f t="shared" si="3"/>
        <v>150662410845457.09</v>
      </c>
      <c r="H7" s="17">
        <f t="shared" si="7"/>
        <v>9000</v>
      </c>
      <c r="I7" s="12">
        <f>'[1]Ar calculation'!$C$28</f>
        <v>1.653E+18</v>
      </c>
      <c r="J7" s="18">
        <f>I7/'[1]Ar calculation'!$C$31</f>
        <v>5535833891493637</v>
      </c>
      <c r="K7" s="19">
        <f t="shared" si="4"/>
        <v>3.7390949193986365E+18</v>
      </c>
      <c r="L7" s="19">
        <f t="shared" si="4"/>
        <v>5704749632883832</v>
      </c>
      <c r="M7" s="20">
        <f t="shared" si="5"/>
        <v>655.43541084527328</v>
      </c>
    </row>
    <row r="8" spans="1:13" x14ac:dyDescent="0.2">
      <c r="B8" s="9">
        <f t="shared" si="8"/>
        <v>0.44999999999999996</v>
      </c>
      <c r="C8" s="14">
        <f t="shared" si="0"/>
        <v>9.3874271372938637E+17</v>
      </c>
      <c r="D8" s="14">
        <f t="shared" si="2"/>
        <v>23468567843234.66</v>
      </c>
      <c r="E8" s="15">
        <f t="shared" si="6"/>
        <v>40000</v>
      </c>
      <c r="F8" s="16">
        <f t="shared" si="1"/>
        <v>1.1473522056692502E+18</v>
      </c>
      <c r="G8" s="16">
        <f t="shared" si="3"/>
        <v>127483578407694.47</v>
      </c>
      <c r="H8" s="17">
        <f t="shared" si="7"/>
        <v>9000</v>
      </c>
      <c r="I8" s="12">
        <f>'[1]Ar calculation'!$C$28</f>
        <v>1.653E+18</v>
      </c>
      <c r="J8" s="18">
        <f>I8/'[1]Ar calculation'!$C$31</f>
        <v>5535833891493637</v>
      </c>
      <c r="K8" s="19">
        <f t="shared" si="4"/>
        <v>3.7390949193986365E+18</v>
      </c>
      <c r="L8" s="19">
        <f t="shared" si="4"/>
        <v>5686786037744566</v>
      </c>
      <c r="M8" s="20">
        <f t="shared" si="5"/>
        <v>657.5058204373023</v>
      </c>
    </row>
    <row r="9" spans="1:13" x14ac:dyDescent="0.2">
      <c r="B9" s="9">
        <f t="shared" si="8"/>
        <v>0.54999999999999993</v>
      </c>
      <c r="C9" s="14">
        <f t="shared" si="0"/>
        <v>1.1473522056692499E+18</v>
      </c>
      <c r="D9" s="14">
        <f t="shared" si="2"/>
        <v>28683805141731.246</v>
      </c>
      <c r="E9" s="15">
        <f t="shared" si="6"/>
        <v>40000</v>
      </c>
      <c r="F9" s="16">
        <f t="shared" si="1"/>
        <v>9.3874271372938662E+17</v>
      </c>
      <c r="G9" s="16">
        <f t="shared" si="3"/>
        <v>104304745969931.84</v>
      </c>
      <c r="H9" s="17">
        <f t="shared" si="7"/>
        <v>9000</v>
      </c>
      <c r="I9" s="12">
        <f>'[1]Ar calculation'!$C$28</f>
        <v>1.653E+18</v>
      </c>
      <c r="J9" s="18">
        <f>I9/'[1]Ar calculation'!$C$31</f>
        <v>5535833891493637</v>
      </c>
      <c r="K9" s="19">
        <f t="shared" si="4"/>
        <v>3.7390949193986365E+18</v>
      </c>
      <c r="L9" s="19">
        <f t="shared" si="4"/>
        <v>5668822442605300</v>
      </c>
      <c r="M9" s="20">
        <f t="shared" si="5"/>
        <v>659.58935162559237</v>
      </c>
    </row>
    <row r="10" spans="1:13" x14ac:dyDescent="0.2">
      <c r="B10" s="9">
        <f t="shared" si="8"/>
        <v>0.64999999999999991</v>
      </c>
      <c r="C10" s="14">
        <f t="shared" si="0"/>
        <v>1.3559616976091136E+18</v>
      </c>
      <c r="D10" s="14">
        <f t="shared" si="2"/>
        <v>33899042440227.84</v>
      </c>
      <c r="E10" s="15">
        <f t="shared" si="6"/>
        <v>40000</v>
      </c>
      <c r="F10" s="16">
        <f t="shared" si="1"/>
        <v>7.3013322178952294E+17</v>
      </c>
      <c r="G10" s="16">
        <f t="shared" si="3"/>
        <v>81125913532169.219</v>
      </c>
      <c r="H10" s="17">
        <f t="shared" si="7"/>
        <v>9000</v>
      </c>
      <c r="I10" s="12">
        <f>'[1]Ar calculation'!$C$28</f>
        <v>1.653E+18</v>
      </c>
      <c r="J10" s="18">
        <f>I10/'[1]Ar calculation'!$C$31</f>
        <v>5535833891493637</v>
      </c>
      <c r="K10" s="19">
        <f t="shared" si="4"/>
        <v>3.7390949193986365E+18</v>
      </c>
      <c r="L10" s="19">
        <f t="shared" si="4"/>
        <v>5650858847466034</v>
      </c>
      <c r="M10" s="20">
        <f t="shared" si="5"/>
        <v>661.68612954742741</v>
      </c>
    </row>
    <row r="11" spans="1:13" x14ac:dyDescent="0.2">
      <c r="B11" s="9">
        <f t="shared" si="8"/>
        <v>0.74999999999999989</v>
      </c>
      <c r="C11" s="14">
        <f t="shared" si="0"/>
        <v>1.5645711895489772E+18</v>
      </c>
      <c r="D11" s="14">
        <f t="shared" si="2"/>
        <v>39114279738724.43</v>
      </c>
      <c r="E11" s="15">
        <f t="shared" si="6"/>
        <v>40000</v>
      </c>
      <c r="F11" s="16">
        <f t="shared" si="1"/>
        <v>5.2152372984965939E+17</v>
      </c>
      <c r="G11" s="16">
        <f t="shared" si="3"/>
        <v>57947081094406.602</v>
      </c>
      <c r="H11" s="17">
        <f t="shared" si="7"/>
        <v>9000</v>
      </c>
      <c r="I11" s="12">
        <f>'[1]Ar calculation'!$C$28</f>
        <v>1.653E+18</v>
      </c>
      <c r="J11" s="18">
        <f>I11/'[1]Ar calculation'!$C$31</f>
        <v>5535833891493637</v>
      </c>
      <c r="K11" s="19">
        <f t="shared" si="4"/>
        <v>3.7390949193986365E+18</v>
      </c>
      <c r="L11" s="19">
        <f t="shared" si="4"/>
        <v>5632895252326768</v>
      </c>
      <c r="M11" s="20">
        <f t="shared" si="5"/>
        <v>663.7962809363687</v>
      </c>
    </row>
    <row r="12" spans="1:13" x14ac:dyDescent="0.2">
      <c r="B12" s="9">
        <f t="shared" si="8"/>
        <v>0.84999999999999987</v>
      </c>
      <c r="C12" s="14">
        <f t="shared" si="0"/>
        <v>1.7731806814888407E+18</v>
      </c>
      <c r="D12" s="14">
        <f t="shared" si="2"/>
        <v>44329517037221.016</v>
      </c>
      <c r="E12" s="15">
        <f t="shared" si="6"/>
        <v>40000</v>
      </c>
      <c r="F12" s="16">
        <f t="shared" si="1"/>
        <v>3.1291423790979578E+17</v>
      </c>
      <c r="G12" s="16">
        <f t="shared" si="3"/>
        <v>34768248656643.977</v>
      </c>
      <c r="H12" s="17">
        <f t="shared" si="7"/>
        <v>9000</v>
      </c>
      <c r="I12" s="12">
        <f>'[1]Ar calculation'!$C$28</f>
        <v>1.653E+18</v>
      </c>
      <c r="J12" s="18">
        <f>I12/'[1]Ar calculation'!$C$31</f>
        <v>5535833891493637</v>
      </c>
      <c r="K12" s="19">
        <f t="shared" si="4"/>
        <v>3.7390949193986365E+18</v>
      </c>
      <c r="L12" s="19">
        <f t="shared" si="4"/>
        <v>5614931657187502</v>
      </c>
      <c r="M12" s="20">
        <f t="shared" si="5"/>
        <v>665.91993414778892</v>
      </c>
    </row>
    <row r="13" spans="1:13" x14ac:dyDescent="0.2">
      <c r="C13" s="30">
        <f>C6</f>
        <v>5.2152372984965914E+17</v>
      </c>
      <c r="D13" s="30">
        <f>D6</f>
        <v>13038093246241.479</v>
      </c>
      <c r="F13" s="31">
        <f>F6</f>
        <v>1.5645711895489774E+18</v>
      </c>
      <c r="G13" s="31">
        <f>G6</f>
        <v>173841243283219.72</v>
      </c>
      <c r="K13" t="s">
        <v>8</v>
      </c>
      <c r="L13" s="31">
        <f>L5</f>
        <v>5740676823162364</v>
      </c>
    </row>
    <row r="14" spans="1:13" x14ac:dyDescent="0.2">
      <c r="A14" s="9"/>
      <c r="C14" s="30">
        <f>C13+F13</f>
        <v>2.0860949193986365E+18</v>
      </c>
      <c r="D14" s="30">
        <f>D13+G13</f>
        <v>186879336529461.19</v>
      </c>
      <c r="E14" s="32">
        <f>ROUND((C14/D14),-3)</f>
        <v>11000</v>
      </c>
      <c r="K14" s="33"/>
    </row>
    <row r="15" spans="1:13" x14ac:dyDescent="0.2">
      <c r="A15" s="9"/>
      <c r="C15" s="30"/>
      <c r="D15" s="30"/>
      <c r="E15" s="32"/>
      <c r="K15" t="s">
        <v>9</v>
      </c>
      <c r="L15" s="34">
        <f>L13*H18</f>
        <v>688881218779483.62</v>
      </c>
    </row>
    <row r="16" spans="1:13" ht="17" thickBot="1" x14ac:dyDescent="0.25">
      <c r="A16" s="35"/>
      <c r="J16"/>
    </row>
    <row r="17" spans="1:13" x14ac:dyDescent="0.2">
      <c r="A17" s="35"/>
      <c r="B17" s="36"/>
      <c r="D17" s="37"/>
      <c r="E17" s="38" t="s">
        <v>7</v>
      </c>
      <c r="F17" s="38" t="s">
        <v>10</v>
      </c>
      <c r="G17" s="38" t="s">
        <v>11</v>
      </c>
      <c r="H17" s="38" t="s">
        <v>12</v>
      </c>
      <c r="I17" s="39" t="s">
        <v>13</v>
      </c>
      <c r="K17" s="1" t="s">
        <v>14</v>
      </c>
      <c r="L17" s="40">
        <v>1.2999999999999999E-2</v>
      </c>
    </row>
    <row r="18" spans="1:13" x14ac:dyDescent="0.2">
      <c r="D18" s="41" t="s">
        <v>15</v>
      </c>
      <c r="E18" s="42">
        <f>E4</f>
        <v>40000</v>
      </c>
      <c r="F18" s="43">
        <v>6.6</v>
      </c>
      <c r="G18" s="43">
        <v>0.64</v>
      </c>
      <c r="H18" s="43">
        <v>0.12</v>
      </c>
      <c r="I18" s="44">
        <f>B11</f>
        <v>0.74999999999999989</v>
      </c>
    </row>
    <row r="19" spans="1:13" ht="17" thickBot="1" x14ac:dyDescent="0.25">
      <c r="D19" s="45" t="s">
        <v>16</v>
      </c>
      <c r="E19" s="46">
        <f>H4</f>
        <v>9000</v>
      </c>
      <c r="F19" s="47">
        <v>2.8</v>
      </c>
      <c r="G19" s="47">
        <v>0.82</v>
      </c>
      <c r="H19" s="47">
        <v>0.41</v>
      </c>
      <c r="I19" s="48">
        <f>1-I18</f>
        <v>0.25000000000000011</v>
      </c>
    </row>
    <row r="20" spans="1:13" ht="17" thickBot="1" x14ac:dyDescent="0.25">
      <c r="E20" s="30"/>
      <c r="K20" s="1" t="s">
        <v>17</v>
      </c>
      <c r="L20" s="9">
        <f>I4</f>
        <v>1.653E+18</v>
      </c>
    </row>
    <row r="21" spans="1:13" x14ac:dyDescent="0.2">
      <c r="D21" s="49"/>
      <c r="E21" s="50" t="s">
        <v>18</v>
      </c>
      <c r="F21" s="50" t="s">
        <v>19</v>
      </c>
      <c r="G21" s="50" t="s">
        <v>20</v>
      </c>
      <c r="H21" s="51" t="s">
        <v>21</v>
      </c>
      <c r="K21" s="1" t="s">
        <v>22</v>
      </c>
      <c r="L21" s="36">
        <v>1.4E-3</v>
      </c>
    </row>
    <row r="22" spans="1:13" x14ac:dyDescent="0.2">
      <c r="D22" s="41" t="s">
        <v>15</v>
      </c>
      <c r="E22" s="52">
        <f>L13*G18</f>
        <v>3674033166823913</v>
      </c>
      <c r="F22" s="52">
        <f>E22*G22</f>
        <v>3.6740331668239129E+20</v>
      </c>
      <c r="G22" s="53">
        <v>100000</v>
      </c>
      <c r="H22" s="54">
        <f>G24/G22</f>
        <v>7.8</v>
      </c>
      <c r="I22" s="55"/>
      <c r="K22" s="1" t="s">
        <v>23</v>
      </c>
      <c r="L22" s="31">
        <f>'[1]Ar calculation'!C26</f>
        <v>3.7390949193986365E+18</v>
      </c>
    </row>
    <row r="23" spans="1:13" x14ac:dyDescent="0.2">
      <c r="D23" s="41" t="s">
        <v>16</v>
      </c>
      <c r="E23" s="52">
        <f>L13*G19</f>
        <v>4707354994993138</v>
      </c>
      <c r="F23" s="52">
        <f>E23*G23</f>
        <v>2.3536774974965691E+20</v>
      </c>
      <c r="G23" s="53">
        <v>50000</v>
      </c>
      <c r="H23" s="56">
        <f>G24/G23</f>
        <v>15.6</v>
      </c>
      <c r="K23" s="1" t="s">
        <v>24</v>
      </c>
      <c r="L23" s="31">
        <f>L22-I4</f>
        <v>2.0860949193986365E+18</v>
      </c>
    </row>
    <row r="24" spans="1:13" ht="17" thickBot="1" x14ac:dyDescent="0.25">
      <c r="D24" s="45" t="s">
        <v>25</v>
      </c>
      <c r="E24" s="57">
        <f>F24/G24</f>
        <v>1187435897.4358974</v>
      </c>
      <c r="F24" s="57">
        <v>926200000000000</v>
      </c>
      <c r="G24" s="58">
        <v>780000</v>
      </c>
      <c r="H24" s="59" t="s">
        <v>26</v>
      </c>
      <c r="L24" s="34" t="s">
        <v>27</v>
      </c>
    </row>
    <row r="25" spans="1:13" x14ac:dyDescent="0.2">
      <c r="D25" s="9" t="s">
        <v>28</v>
      </c>
      <c r="E25" s="55">
        <f>E24+E23+E22</f>
        <v>8381389349252948</v>
      </c>
      <c r="F25" s="55">
        <f t="shared" ref="F25" si="9">F24+F23+F22</f>
        <v>6.0277199263204822E+20</v>
      </c>
      <c r="G25" s="60">
        <f>ROUND((F25/E25),-3)</f>
        <v>72000</v>
      </c>
      <c r="H25" s="32">
        <f>G24/G25</f>
        <v>10.833333333333334</v>
      </c>
    </row>
    <row r="26" spans="1:13" ht="17" thickBot="1" x14ac:dyDescent="0.25"/>
    <row r="27" spans="1:13" x14ac:dyDescent="0.2">
      <c r="D27" s="49"/>
      <c r="E27" s="38" t="s">
        <v>29</v>
      </c>
      <c r="F27" s="38" t="s">
        <v>30</v>
      </c>
      <c r="G27" s="38" t="s">
        <v>31</v>
      </c>
      <c r="H27" s="50" t="s">
        <v>32</v>
      </c>
      <c r="I27" s="51" t="s">
        <v>33</v>
      </c>
    </row>
    <row r="28" spans="1:13" x14ac:dyDescent="0.2">
      <c r="D28" s="41" t="s">
        <v>15</v>
      </c>
      <c r="E28" s="52">
        <f>G28*12.5</f>
        <v>8611015234743545</v>
      </c>
      <c r="F28" s="52">
        <f>0.062*G28</f>
        <v>42710635564327.984</v>
      </c>
      <c r="G28" s="52">
        <f>L13*H18</f>
        <v>688881218779483.62</v>
      </c>
      <c r="H28" s="61">
        <f>F28/G28</f>
        <v>6.2E-2</v>
      </c>
      <c r="I28" s="62">
        <v>12.5</v>
      </c>
      <c r="J28" s="63"/>
      <c r="K28" s="64"/>
      <c r="L28" s="65"/>
      <c r="M28" s="66"/>
    </row>
    <row r="29" spans="1:13" x14ac:dyDescent="0.2">
      <c r="D29" s="41" t="s">
        <v>16</v>
      </c>
      <c r="E29" s="52">
        <f>G29*12.9</f>
        <v>3.036243971770574E+16</v>
      </c>
      <c r="F29" s="52">
        <f>0.0375*G29</f>
        <v>88262906156121.328</v>
      </c>
      <c r="G29" s="52">
        <f>L13*H19</f>
        <v>2353677497496569</v>
      </c>
      <c r="H29" s="61">
        <f>F29/G29</f>
        <v>3.7499999999999999E-2</v>
      </c>
      <c r="I29" s="62">
        <v>12.9</v>
      </c>
      <c r="J29" s="63"/>
      <c r="K29" s="67"/>
      <c r="L29" s="65"/>
      <c r="M29" s="68"/>
    </row>
    <row r="30" spans="1:13" x14ac:dyDescent="0.2">
      <c r="D30" s="41" t="s">
        <v>25</v>
      </c>
      <c r="E30" s="52">
        <v>3213000000000000</v>
      </c>
      <c r="F30" s="52">
        <f>0.029*G30</f>
        <v>9507857142857.1426</v>
      </c>
      <c r="G30" s="52">
        <f>E30/I30</f>
        <v>327857142857142.81</v>
      </c>
      <c r="H30" s="61">
        <f>F30/G30</f>
        <v>2.9000000000000001E-2</v>
      </c>
      <c r="I30" s="62">
        <v>9.8000000000000007</v>
      </c>
      <c r="J30" s="30"/>
    </row>
    <row r="31" spans="1:13" ht="17" thickBot="1" x14ac:dyDescent="0.25">
      <c r="D31" s="69" t="s">
        <v>28</v>
      </c>
      <c r="E31" s="70">
        <f>E30+E29+E28</f>
        <v>4.2186454952449288E+16</v>
      </c>
      <c r="F31" s="70">
        <f>F30+F29+F28</f>
        <v>140481398863306.45</v>
      </c>
      <c r="G31" s="70">
        <f>G30+G29+G28</f>
        <v>3370415859133195.5</v>
      </c>
      <c r="H31" s="71">
        <f>F31/G31</f>
        <v>4.1680731617324961E-2</v>
      </c>
      <c r="I31" s="72">
        <f>E31/G31</f>
        <v>12.516691327015893</v>
      </c>
      <c r="J31" s="30"/>
      <c r="K31" s="64"/>
      <c r="L31" s="65"/>
    </row>
    <row r="32" spans="1:13" ht="17" thickBot="1" x14ac:dyDescent="0.25">
      <c r="J32" s="73"/>
      <c r="L32" s="65"/>
    </row>
    <row r="33" spans="4:12" x14ac:dyDescent="0.2">
      <c r="D33" s="49"/>
      <c r="E33" s="50" t="s">
        <v>34</v>
      </c>
      <c r="F33" s="50" t="s">
        <v>35</v>
      </c>
      <c r="G33" s="50" t="s">
        <v>36</v>
      </c>
      <c r="H33" s="50" t="s">
        <v>37</v>
      </c>
      <c r="I33" s="39" t="s">
        <v>7</v>
      </c>
    </row>
    <row r="34" spans="4:12" x14ac:dyDescent="0.2">
      <c r="D34" s="41" t="s">
        <v>15</v>
      </c>
      <c r="E34" s="52">
        <f>D13</f>
        <v>13038093246241.479</v>
      </c>
      <c r="F34" s="52">
        <f>E34*H34</f>
        <v>2451161530293.3979</v>
      </c>
      <c r="G34" s="52">
        <f>C13</f>
        <v>5.2152372984965914E+17</v>
      </c>
      <c r="H34" s="74">
        <f>0.188</f>
        <v>0.188</v>
      </c>
      <c r="I34" s="75">
        <f>G34/E34</f>
        <v>40000</v>
      </c>
      <c r="J34" s="76">
        <f>E34/E$37</f>
        <v>2.278306238096342E-3</v>
      </c>
      <c r="K34" s="76">
        <f t="shared" ref="K34:L37" si="10">F34/F$37</f>
        <v>2.278306238096342E-3</v>
      </c>
      <c r="L34" s="76">
        <f t="shared" si="10"/>
        <v>0.13947860139735005</v>
      </c>
    </row>
    <row r="35" spans="4:12" x14ac:dyDescent="0.2">
      <c r="D35" s="41" t="s">
        <v>16</v>
      </c>
      <c r="E35" s="52">
        <f>G13</f>
        <v>173841243283219.72</v>
      </c>
      <c r="F35" s="52">
        <f>E35*H35</f>
        <v>32682153737245.309</v>
      </c>
      <c r="G35" s="52">
        <f>F13</f>
        <v>1.5645711895489774E+18</v>
      </c>
      <c r="H35" s="74">
        <f>0.188</f>
        <v>0.188</v>
      </c>
      <c r="I35" s="75">
        <f>G35/E35</f>
        <v>9000</v>
      </c>
      <c r="J35" s="76">
        <f t="shared" ref="J35:J37" si="11">E35/E$37</f>
        <v>3.0377416507951227E-2</v>
      </c>
      <c r="K35" s="76">
        <f t="shared" si="10"/>
        <v>3.0377416507951231E-2</v>
      </c>
      <c r="L35" s="76">
        <f t="shared" si="10"/>
        <v>0.41843580419205012</v>
      </c>
    </row>
    <row r="36" spans="4:12" x14ac:dyDescent="0.2">
      <c r="D36" s="41" t="s">
        <v>25</v>
      </c>
      <c r="E36" s="52">
        <f>J12</f>
        <v>5535833891493637</v>
      </c>
      <c r="F36" s="52">
        <f>E36*H36</f>
        <v>1040736771600803.8</v>
      </c>
      <c r="G36" s="52">
        <f>I12</f>
        <v>1.653E+18</v>
      </c>
      <c r="H36" s="74">
        <f>0.188</f>
        <v>0.188</v>
      </c>
      <c r="I36" s="77">
        <f>G36/E36</f>
        <v>298.60000000000002</v>
      </c>
      <c r="J36" s="76">
        <f t="shared" si="11"/>
        <v>0.96734427725395244</v>
      </c>
      <c r="K36" s="76">
        <f t="shared" si="10"/>
        <v>0.96734427725395256</v>
      </c>
      <c r="L36" s="76">
        <f t="shared" si="10"/>
        <v>0.4420855944105998</v>
      </c>
    </row>
    <row r="37" spans="4:12" ht="17" thickBot="1" x14ac:dyDescent="0.25">
      <c r="D37" s="69" t="s">
        <v>28</v>
      </c>
      <c r="E37" s="70">
        <f>E36+E35+E34</f>
        <v>5722713228023098</v>
      </c>
      <c r="F37" s="70">
        <f t="shared" ref="F37:G37" si="12">F36+F35+F34</f>
        <v>1075870086868342.4</v>
      </c>
      <c r="G37" s="70">
        <f t="shared" si="12"/>
        <v>3.7390949193986365E+18</v>
      </c>
      <c r="H37" s="78">
        <f>H36</f>
        <v>0.188</v>
      </c>
      <c r="I37" s="79">
        <f>G37/E37</f>
        <v>653.37799928344498</v>
      </c>
      <c r="J37" s="76">
        <f t="shared" si="11"/>
        <v>1</v>
      </c>
      <c r="K37" s="76">
        <f t="shared" si="10"/>
        <v>1</v>
      </c>
      <c r="L37" s="76">
        <f t="shared" si="10"/>
        <v>1</v>
      </c>
    </row>
    <row r="38" spans="4:12" x14ac:dyDescent="0.2">
      <c r="F38" s="68"/>
      <c r="G38"/>
      <c r="H38"/>
      <c r="I38"/>
    </row>
    <row r="41" spans="4:12" x14ac:dyDescent="0.2">
      <c r="G41" s="80" t="s">
        <v>38</v>
      </c>
      <c r="H41" s="81">
        <v>12.9</v>
      </c>
    </row>
    <row r="42" spans="4:12" x14ac:dyDescent="0.2">
      <c r="G42" s="80" t="s">
        <v>39</v>
      </c>
      <c r="H42" s="81">
        <v>10745</v>
      </c>
    </row>
    <row r="43" spans="4:12" x14ac:dyDescent="0.2">
      <c r="G43" s="80" t="s">
        <v>40</v>
      </c>
      <c r="H43" s="81">
        <v>0.20200000000000001</v>
      </c>
    </row>
    <row r="44" spans="4:12" x14ac:dyDescent="0.2">
      <c r="G44" s="80" t="s">
        <v>41</v>
      </c>
      <c r="H44" s="81">
        <v>6.8</v>
      </c>
    </row>
    <row r="45" spans="4:12" x14ac:dyDescent="0.2">
      <c r="G45" s="80" t="s">
        <v>42</v>
      </c>
      <c r="H45" s="81"/>
    </row>
    <row r="46" spans="4:12" x14ac:dyDescent="0.2">
      <c r="G46" s="80" t="s">
        <v>43</v>
      </c>
      <c r="H46" s="81">
        <v>2.8</v>
      </c>
    </row>
  </sheetData>
  <printOptions horizontalCentered="1" verticalCentered="1"/>
  <pageMargins left="0.25" right="0.25" top="0.25" bottom="0.25" header="0.3" footer="0.3"/>
  <pageSetup paperSize="9" scale="90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11D9D-721E-E44A-8357-D98F342DFDF4}">
  <sheetPr>
    <pageSetUpPr fitToPage="1"/>
  </sheetPr>
  <dimension ref="A1:M47"/>
  <sheetViews>
    <sheetView zoomScale="170" zoomScaleNormal="170" workbookViewId="0">
      <selection activeCell="K43" sqref="K43"/>
    </sheetView>
  </sheetViews>
  <sheetFormatPr baseColWidth="10" defaultRowHeight="16" x14ac:dyDescent="0.2"/>
  <cols>
    <col min="1" max="1" width="39" customWidth="1"/>
    <col min="2" max="2" width="11.6640625" bestFit="1" customWidth="1"/>
    <col min="3" max="3" width="10.6640625" bestFit="1" customWidth="1"/>
    <col min="4" max="4" width="12.1640625" bestFit="1" customWidth="1"/>
    <col min="5" max="6" width="12.5" bestFit="1" customWidth="1"/>
    <col min="7" max="7" width="11.5" customWidth="1"/>
    <col min="8" max="8" width="10.5" bestFit="1" customWidth="1"/>
    <col min="9" max="9" width="12" bestFit="1" customWidth="1"/>
    <col min="10" max="10" width="10.1640625" bestFit="1" customWidth="1"/>
    <col min="11" max="11" width="13.5" customWidth="1"/>
    <col min="12" max="12" width="10.1640625" bestFit="1" customWidth="1"/>
    <col min="13" max="13" width="8.5" customWidth="1"/>
  </cols>
  <sheetData>
    <row r="1" spans="1:13" x14ac:dyDescent="0.2">
      <c r="A1" s="82"/>
      <c r="B1" s="83"/>
      <c r="C1" s="83"/>
      <c r="D1" s="83"/>
      <c r="E1" s="83"/>
      <c r="F1" s="83"/>
      <c r="G1" s="83"/>
      <c r="H1" s="83"/>
      <c r="I1" s="83"/>
      <c r="J1" s="83"/>
      <c r="K1" s="84"/>
      <c r="L1" s="84"/>
      <c r="M1" s="84"/>
    </row>
    <row r="2" spans="1:13" x14ac:dyDescent="0.2">
      <c r="C2" s="85"/>
      <c r="D2" s="86"/>
      <c r="E2" s="86"/>
      <c r="F2" s="83"/>
      <c r="G2" s="83"/>
      <c r="H2" s="83"/>
      <c r="I2" s="83"/>
      <c r="J2" s="83"/>
      <c r="K2" s="84"/>
      <c r="L2" s="84"/>
      <c r="M2" s="84"/>
    </row>
    <row r="3" spans="1:13" x14ac:dyDescent="0.2">
      <c r="C3" s="83"/>
      <c r="D3" s="83"/>
      <c r="E3" s="83"/>
      <c r="F3" s="83"/>
      <c r="G3" s="83"/>
      <c r="H3" s="83"/>
      <c r="I3" s="83"/>
      <c r="J3" s="83"/>
      <c r="K3" s="84"/>
      <c r="L3" s="84"/>
      <c r="M3" s="84"/>
    </row>
    <row r="4" spans="1:13" ht="34" x14ac:dyDescent="0.2">
      <c r="B4" s="87" t="s">
        <v>0</v>
      </c>
      <c r="C4" s="88" t="s">
        <v>1</v>
      </c>
      <c r="D4" s="88"/>
      <c r="E4" s="89"/>
      <c r="F4" s="90" t="s">
        <v>2</v>
      </c>
      <c r="G4" s="90"/>
      <c r="H4" s="89"/>
      <c r="I4" s="91" t="s">
        <v>3</v>
      </c>
      <c r="J4" s="91"/>
      <c r="K4" s="92" t="s">
        <v>4</v>
      </c>
      <c r="L4" s="92"/>
      <c r="M4" s="93"/>
    </row>
    <row r="5" spans="1:13" x14ac:dyDescent="0.2">
      <c r="C5" s="94" t="s">
        <v>5</v>
      </c>
      <c r="D5" s="94" t="s">
        <v>6</v>
      </c>
      <c r="E5" s="94" t="s">
        <v>7</v>
      </c>
      <c r="F5" s="95" t="s">
        <v>5</v>
      </c>
      <c r="G5" s="95" t="s">
        <v>6</v>
      </c>
      <c r="H5" s="95"/>
      <c r="I5" s="96" t="s">
        <v>5</v>
      </c>
      <c r="J5" s="96" t="s">
        <v>6</v>
      </c>
      <c r="K5" s="97" t="s">
        <v>5</v>
      </c>
      <c r="L5" s="97" t="s">
        <v>6</v>
      </c>
      <c r="M5" s="97"/>
    </row>
    <row r="6" spans="1:13" x14ac:dyDescent="0.2">
      <c r="B6" s="83">
        <v>0.1</v>
      </c>
      <c r="C6" s="98">
        <f t="shared" ref="C6:C14" si="0">$L$26*B6</f>
        <v>2.0753666768573942E+17</v>
      </c>
      <c r="D6" s="98">
        <f>C6/E6</f>
        <v>5188416692143.4854</v>
      </c>
      <c r="E6" s="99">
        <v>40000</v>
      </c>
      <c r="F6" s="100">
        <f t="shared" ref="F6:F14" si="1">$L$26*(1-B6)</f>
        <v>1.8678300091716549E+18</v>
      </c>
      <c r="G6" s="100">
        <f>F6/H6</f>
        <v>207536667685739.44</v>
      </c>
      <c r="H6" s="101">
        <v>9000</v>
      </c>
      <c r="I6" s="96">
        <f>'[1]Ar calculation'!E28</f>
        <v>1.653E+18</v>
      </c>
      <c r="J6" s="102">
        <f>I6/'[1]Ar calculation'!E31</f>
        <v>5535833891493637</v>
      </c>
      <c r="K6" s="103">
        <f>C6+F6+I6</f>
        <v>3.7283666768573942E+18</v>
      </c>
      <c r="L6" s="104">
        <f>D6+G6+J6</f>
        <v>5748558975871520</v>
      </c>
      <c r="M6" s="105">
        <f>K6/L6</f>
        <v>648.57413701529413</v>
      </c>
    </row>
    <row r="7" spans="1:13" x14ac:dyDescent="0.2">
      <c r="A7" s="82"/>
      <c r="B7" s="83">
        <f>B6+0.05</f>
        <v>0.15000000000000002</v>
      </c>
      <c r="C7" s="98">
        <f t="shared" si="0"/>
        <v>3.1130500152860915E+17</v>
      </c>
      <c r="D7" s="98">
        <f t="shared" ref="D7:D14" si="2">C7/E7</f>
        <v>7782625038215.2285</v>
      </c>
      <c r="E7" s="99">
        <f>$E$6</f>
        <v>40000</v>
      </c>
      <c r="F7" s="100">
        <f t="shared" si="1"/>
        <v>1.7640616753287849E+18</v>
      </c>
      <c r="G7" s="100">
        <f t="shared" ref="G7:G14" si="3">F7/H7</f>
        <v>196006852814309.44</v>
      </c>
      <c r="H7" s="101">
        <f>$H$6</f>
        <v>9000</v>
      </c>
      <c r="I7" s="96">
        <v>1.651E+18</v>
      </c>
      <c r="J7" s="102">
        <v>5529135967849966</v>
      </c>
      <c r="K7" s="103">
        <f t="shared" ref="K7:L14" si="4">C7+F7+I7</f>
        <v>3.7263666768573942E+18</v>
      </c>
      <c r="L7" s="104">
        <f t="shared" si="4"/>
        <v>5732925445702491</v>
      </c>
      <c r="M7" s="105">
        <f t="shared" ref="M7:M14" si="5">K7/L7</f>
        <v>649.99391883785074</v>
      </c>
    </row>
    <row r="8" spans="1:13" x14ac:dyDescent="0.2">
      <c r="A8" s="82"/>
      <c r="B8" s="83">
        <f>B7+0.1</f>
        <v>0.25</v>
      </c>
      <c r="C8" s="98">
        <f t="shared" si="0"/>
        <v>5.1884166921434854E+17</v>
      </c>
      <c r="D8" s="98">
        <f t="shared" si="2"/>
        <v>12971041730358.713</v>
      </c>
      <c r="E8" s="99">
        <f t="shared" ref="E8:E14" si="6">$E$6</f>
        <v>40000</v>
      </c>
      <c r="F8" s="100">
        <f t="shared" si="1"/>
        <v>1.5565250076430456E+18</v>
      </c>
      <c r="G8" s="100">
        <f t="shared" si="3"/>
        <v>172947223071449.5</v>
      </c>
      <c r="H8" s="101">
        <f t="shared" ref="H8:H14" si="7">$H$6</f>
        <v>9000</v>
      </c>
      <c r="I8" s="96">
        <v>1.651E+18</v>
      </c>
      <c r="J8" s="102">
        <v>5529135967849966</v>
      </c>
      <c r="K8" s="103">
        <f t="shared" si="4"/>
        <v>3.7263666768573942E+18</v>
      </c>
      <c r="L8" s="104">
        <f t="shared" si="4"/>
        <v>5715054232651774</v>
      </c>
      <c r="M8" s="105">
        <f t="shared" si="5"/>
        <v>652.02647694357347</v>
      </c>
    </row>
    <row r="9" spans="1:13" x14ac:dyDescent="0.2">
      <c r="A9" s="82"/>
      <c r="B9" s="83">
        <f t="shared" ref="B9:B14" si="8">B8+0.1</f>
        <v>0.35</v>
      </c>
      <c r="C9" s="98">
        <f t="shared" si="0"/>
        <v>7.2637833690008794E+17</v>
      </c>
      <c r="D9" s="98">
        <f t="shared" si="2"/>
        <v>18159458422502.199</v>
      </c>
      <c r="E9" s="99">
        <f t="shared" si="6"/>
        <v>40000</v>
      </c>
      <c r="F9" s="100">
        <f t="shared" si="1"/>
        <v>1.3489883399573064E+18</v>
      </c>
      <c r="G9" s="100">
        <f t="shared" si="3"/>
        <v>149887593328589.59</v>
      </c>
      <c r="H9" s="101">
        <f t="shared" si="7"/>
        <v>9000</v>
      </c>
      <c r="I9" s="96">
        <v>1.651E+18</v>
      </c>
      <c r="J9" s="102">
        <v>5529135967849966</v>
      </c>
      <c r="K9" s="103">
        <f t="shared" si="4"/>
        <v>3.7263666768573942E+18</v>
      </c>
      <c r="L9" s="104">
        <f t="shared" si="4"/>
        <v>5697183019601058</v>
      </c>
      <c r="M9" s="105">
        <f t="shared" si="5"/>
        <v>654.0717867122919</v>
      </c>
    </row>
    <row r="10" spans="1:13" x14ac:dyDescent="0.2">
      <c r="A10" s="82"/>
      <c r="B10" s="83">
        <f t="shared" si="8"/>
        <v>0.44999999999999996</v>
      </c>
      <c r="C10" s="98">
        <f t="shared" si="0"/>
        <v>9.3391500458582733E+17</v>
      </c>
      <c r="D10" s="98">
        <f t="shared" si="2"/>
        <v>23347875114645.684</v>
      </c>
      <c r="E10" s="99">
        <f t="shared" si="6"/>
        <v>40000</v>
      </c>
      <c r="F10" s="100">
        <f t="shared" si="1"/>
        <v>1.1414516722715668E+18</v>
      </c>
      <c r="G10" s="100">
        <f t="shared" si="3"/>
        <v>126827963585729.66</v>
      </c>
      <c r="H10" s="101">
        <f t="shared" si="7"/>
        <v>9000</v>
      </c>
      <c r="I10" s="96">
        <v>1.651E+18</v>
      </c>
      <c r="J10" s="102">
        <v>5529135967849966</v>
      </c>
      <c r="K10" s="103">
        <f t="shared" si="4"/>
        <v>3.7263666768573942E+18</v>
      </c>
      <c r="L10" s="104">
        <f t="shared" si="4"/>
        <v>5679311806550341</v>
      </c>
      <c r="M10" s="105">
        <f t="shared" si="5"/>
        <v>656.12996852180561</v>
      </c>
    </row>
    <row r="11" spans="1:13" x14ac:dyDescent="0.2">
      <c r="A11" s="82"/>
      <c r="B11" s="83">
        <f t="shared" si="8"/>
        <v>0.54999999999999993</v>
      </c>
      <c r="C11" s="98">
        <f t="shared" si="0"/>
        <v>1.1414516722715667E+18</v>
      </c>
      <c r="D11" s="98">
        <f t="shared" si="2"/>
        <v>28536291806789.168</v>
      </c>
      <c r="E11" s="99">
        <f t="shared" si="6"/>
        <v>40000</v>
      </c>
      <c r="F11" s="100">
        <f t="shared" si="1"/>
        <v>9.3391500458582746E+17</v>
      </c>
      <c r="G11" s="100">
        <f t="shared" si="3"/>
        <v>103768333842869.72</v>
      </c>
      <c r="H11" s="101">
        <f t="shared" si="7"/>
        <v>9000</v>
      </c>
      <c r="I11" s="96">
        <v>1.651E+18</v>
      </c>
      <c r="J11" s="102">
        <v>5529135967849966</v>
      </c>
      <c r="K11" s="103">
        <f t="shared" si="4"/>
        <v>3.7263666768573942E+18</v>
      </c>
      <c r="L11" s="104">
        <f t="shared" si="4"/>
        <v>5661440593499625</v>
      </c>
      <c r="M11" s="105">
        <f t="shared" si="5"/>
        <v>658.20114426987868</v>
      </c>
    </row>
    <row r="12" spans="1:13" ht="17" thickBot="1" x14ac:dyDescent="0.25">
      <c r="A12" s="82"/>
      <c r="B12" s="83">
        <f t="shared" si="8"/>
        <v>0.64999999999999991</v>
      </c>
      <c r="C12" s="98">
        <f t="shared" si="0"/>
        <v>1.3489883399573061E+18</v>
      </c>
      <c r="D12" s="98">
        <f t="shared" si="2"/>
        <v>33724708498932.652</v>
      </c>
      <c r="E12" s="99">
        <f t="shared" si="6"/>
        <v>40000</v>
      </c>
      <c r="F12" s="100">
        <f t="shared" si="1"/>
        <v>7.2637833690008819E+17</v>
      </c>
      <c r="G12" s="100">
        <f t="shared" si="3"/>
        <v>80708704100009.797</v>
      </c>
      <c r="H12" s="101">
        <f t="shared" si="7"/>
        <v>9000</v>
      </c>
      <c r="I12" s="96">
        <v>1.651E+18</v>
      </c>
      <c r="J12" s="102">
        <v>5529135967849966</v>
      </c>
      <c r="K12" s="103">
        <f t="shared" si="4"/>
        <v>3.7263666768573942E+18</v>
      </c>
      <c r="L12" s="104">
        <f t="shared" si="4"/>
        <v>5643569380448908</v>
      </c>
      <c r="M12" s="105">
        <f t="shared" si="5"/>
        <v>660.28543739830604</v>
      </c>
    </row>
    <row r="13" spans="1:13" ht="17" thickBot="1" x14ac:dyDescent="0.25">
      <c r="A13" s="82"/>
      <c r="B13" s="106">
        <f t="shared" si="8"/>
        <v>0.74999999999999989</v>
      </c>
      <c r="C13" s="107">
        <f t="shared" si="0"/>
        <v>1.5565250076430454E+18</v>
      </c>
      <c r="D13" s="107">
        <f t="shared" si="2"/>
        <v>38913125191076.133</v>
      </c>
      <c r="E13" s="108">
        <f t="shared" si="6"/>
        <v>40000</v>
      </c>
      <c r="F13" s="109">
        <f t="shared" si="1"/>
        <v>5.188416692143488E+17</v>
      </c>
      <c r="G13" s="109">
        <f t="shared" si="3"/>
        <v>57649074357149.867</v>
      </c>
      <c r="H13" s="110">
        <f t="shared" si="7"/>
        <v>9000</v>
      </c>
      <c r="I13" s="111">
        <v>1.651E+18</v>
      </c>
      <c r="J13" s="112">
        <v>5529135967849966</v>
      </c>
      <c r="K13" s="113">
        <f t="shared" si="4"/>
        <v>3.7263666768573942E+18</v>
      </c>
      <c r="L13" s="114">
        <f t="shared" si="4"/>
        <v>5625698167398192</v>
      </c>
      <c r="M13" s="115">
        <f t="shared" si="5"/>
        <v>662.38297291743743</v>
      </c>
    </row>
    <row r="14" spans="1:13" x14ac:dyDescent="0.2">
      <c r="A14" s="82"/>
      <c r="B14" s="83">
        <f t="shared" si="8"/>
        <v>0.84999999999999987</v>
      </c>
      <c r="C14" s="98">
        <f t="shared" si="0"/>
        <v>1.7640616753287849E+18</v>
      </c>
      <c r="D14" s="98">
        <f t="shared" si="2"/>
        <v>44101541883219.625</v>
      </c>
      <c r="E14" s="99">
        <f t="shared" si="6"/>
        <v>40000</v>
      </c>
      <c r="F14" s="100">
        <f t="shared" si="1"/>
        <v>3.1130500152860941E+17</v>
      </c>
      <c r="G14" s="100">
        <f t="shared" si="3"/>
        <v>34589444614289.934</v>
      </c>
      <c r="H14" s="101">
        <f t="shared" si="7"/>
        <v>9000</v>
      </c>
      <c r="I14" s="96">
        <v>1.651E+18</v>
      </c>
      <c r="J14" s="102">
        <v>5529135967849966</v>
      </c>
      <c r="K14" s="103">
        <f t="shared" si="4"/>
        <v>3.7263666768573942E+18</v>
      </c>
      <c r="L14" s="104">
        <f t="shared" si="4"/>
        <v>5607826954347476</v>
      </c>
      <c r="M14" s="105">
        <f t="shared" si="5"/>
        <v>664.493877431172</v>
      </c>
    </row>
    <row r="15" spans="1:13" x14ac:dyDescent="0.2">
      <c r="A15" s="82"/>
      <c r="B15" s="83"/>
      <c r="C15" s="116">
        <f>C13</f>
        <v>1.5565250076430454E+18</v>
      </c>
      <c r="D15" s="116">
        <f>D13</f>
        <v>38913125191076.133</v>
      </c>
      <c r="E15" s="83"/>
      <c r="F15" s="85">
        <f>F13</f>
        <v>5.188416692143488E+17</v>
      </c>
      <c r="G15" s="85">
        <f>G13</f>
        <v>57649074357149.867</v>
      </c>
      <c r="H15" s="83"/>
      <c r="I15" s="83"/>
      <c r="J15" s="83"/>
      <c r="K15" s="82" t="s">
        <v>8</v>
      </c>
      <c r="L15" s="85">
        <f>L13</f>
        <v>5625698167398192</v>
      </c>
      <c r="M15" s="84"/>
    </row>
    <row r="16" spans="1:13" x14ac:dyDescent="0.2">
      <c r="A16" s="83"/>
      <c r="B16" s="83"/>
      <c r="C16" s="116">
        <f>C15+F15</f>
        <v>2.0753666768573942E+18</v>
      </c>
      <c r="D16" s="116">
        <f>D15+G15</f>
        <v>96562199548226</v>
      </c>
      <c r="E16" s="86">
        <f>ROUND((C16/D16),-3)</f>
        <v>21000</v>
      </c>
      <c r="F16" s="83"/>
      <c r="G16" s="83"/>
      <c r="H16" s="83"/>
      <c r="I16" s="83"/>
      <c r="J16" s="83"/>
      <c r="K16" s="117"/>
      <c r="L16" s="84"/>
      <c r="M16" s="84"/>
    </row>
    <row r="17" spans="1:13" x14ac:dyDescent="0.2">
      <c r="A17" s="83"/>
      <c r="B17" s="83"/>
      <c r="C17" s="116"/>
      <c r="D17" s="116"/>
      <c r="E17" s="86"/>
      <c r="F17" s="83"/>
      <c r="G17" s="83"/>
      <c r="H17" s="83"/>
      <c r="I17" s="83"/>
      <c r="J17" s="83"/>
      <c r="K17" s="82" t="s">
        <v>9</v>
      </c>
      <c r="L17" s="118">
        <f>L15*H20</f>
        <v>675083780087783</v>
      </c>
      <c r="M17" s="84"/>
    </row>
    <row r="18" spans="1:13" ht="17" thickBot="1" x14ac:dyDescent="0.25">
      <c r="A18" s="119"/>
      <c r="B18" s="83"/>
      <c r="C18" s="83"/>
      <c r="D18" s="83"/>
      <c r="E18" s="83"/>
      <c r="F18" s="83"/>
      <c r="G18" s="83"/>
      <c r="H18" s="83"/>
      <c r="I18" s="83"/>
      <c r="J18" s="83"/>
      <c r="K18" s="84"/>
      <c r="L18" s="84"/>
      <c r="M18" s="84"/>
    </row>
    <row r="19" spans="1:13" x14ac:dyDescent="0.2">
      <c r="A19" s="119"/>
      <c r="B19" s="120"/>
      <c r="C19" s="83"/>
      <c r="D19" s="121"/>
      <c r="E19" s="122" t="s">
        <v>7</v>
      </c>
      <c r="F19" s="122" t="s">
        <v>10</v>
      </c>
      <c r="G19" s="122" t="s">
        <v>11</v>
      </c>
      <c r="H19" s="122" t="s">
        <v>12</v>
      </c>
      <c r="I19" s="123" t="s">
        <v>13</v>
      </c>
      <c r="J19" s="83"/>
      <c r="K19" s="82" t="s">
        <v>14</v>
      </c>
      <c r="L19" s="124">
        <v>1.2999999999999999E-2</v>
      </c>
      <c r="M19" s="84"/>
    </row>
    <row r="20" spans="1:13" x14ac:dyDescent="0.2">
      <c r="A20" s="82"/>
      <c r="B20" s="83"/>
      <c r="C20" s="83"/>
      <c r="D20" s="125" t="s">
        <v>15</v>
      </c>
      <c r="E20" s="126">
        <f>E6</f>
        <v>40000</v>
      </c>
      <c r="F20" s="127">
        <v>6.6</v>
      </c>
      <c r="G20" s="127">
        <v>0.64</v>
      </c>
      <c r="H20" s="127">
        <v>0.12</v>
      </c>
      <c r="I20" s="128">
        <f>B13</f>
        <v>0.74999999999999989</v>
      </c>
      <c r="J20" s="83"/>
      <c r="K20" s="84"/>
      <c r="L20" s="84"/>
      <c r="M20" s="84"/>
    </row>
    <row r="21" spans="1:13" ht="17" thickBot="1" x14ac:dyDescent="0.25">
      <c r="C21" s="83"/>
      <c r="D21" s="129" t="s">
        <v>16</v>
      </c>
      <c r="E21" s="130">
        <f>H6</f>
        <v>9000</v>
      </c>
      <c r="F21" s="131">
        <v>2.8</v>
      </c>
      <c r="G21" s="131">
        <v>0.82</v>
      </c>
      <c r="H21" s="131">
        <v>0.41</v>
      </c>
      <c r="I21" s="132">
        <f>1-I20</f>
        <v>0.25000000000000011</v>
      </c>
      <c r="J21" s="83"/>
      <c r="K21" s="84"/>
      <c r="L21" s="84"/>
      <c r="M21" s="84"/>
    </row>
    <row r="22" spans="1:13" ht="17" thickBot="1" x14ac:dyDescent="0.25">
      <c r="C22" s="83"/>
      <c r="D22" s="83"/>
      <c r="E22" s="116"/>
      <c r="F22" s="83"/>
      <c r="G22" s="83"/>
      <c r="H22" s="83"/>
      <c r="I22" s="83"/>
      <c r="J22" s="83"/>
      <c r="K22" s="84"/>
      <c r="L22" s="84"/>
      <c r="M22" s="84"/>
    </row>
    <row r="23" spans="1:13" x14ac:dyDescent="0.2">
      <c r="C23" s="83"/>
      <c r="D23" s="133"/>
      <c r="E23" s="134" t="s">
        <v>18</v>
      </c>
      <c r="F23" s="134" t="s">
        <v>19</v>
      </c>
      <c r="G23" s="134" t="s">
        <v>20</v>
      </c>
      <c r="H23" s="135" t="s">
        <v>21</v>
      </c>
      <c r="I23" s="83"/>
      <c r="J23" s="83"/>
      <c r="K23" s="82" t="s">
        <v>17</v>
      </c>
      <c r="L23" s="83">
        <f>I6</f>
        <v>1.653E+18</v>
      </c>
      <c r="M23" s="84"/>
    </row>
    <row r="24" spans="1:13" x14ac:dyDescent="0.2">
      <c r="C24" s="83"/>
      <c r="D24" s="125" t="s">
        <v>15</v>
      </c>
      <c r="E24" s="136">
        <f>L15*G20</f>
        <v>3600446827134843</v>
      </c>
      <c r="F24" s="136">
        <f>E24*G24</f>
        <v>3.600446827134843E+20</v>
      </c>
      <c r="G24" s="137">
        <v>100000</v>
      </c>
      <c r="H24" s="138">
        <f>G26/G24</f>
        <v>7.8</v>
      </c>
      <c r="I24" s="139"/>
      <c r="J24" s="83"/>
      <c r="K24" s="82" t="s">
        <v>22</v>
      </c>
      <c r="L24" s="120">
        <v>1.4E-3</v>
      </c>
      <c r="M24" s="84"/>
    </row>
    <row r="25" spans="1:13" x14ac:dyDescent="0.2">
      <c r="C25" s="83"/>
      <c r="D25" s="125" t="s">
        <v>16</v>
      </c>
      <c r="E25" s="136">
        <f>L15*G21</f>
        <v>4613072497266517</v>
      </c>
      <c r="F25" s="136">
        <f>E25*G25</f>
        <v>2.3065362486332585E+20</v>
      </c>
      <c r="G25" s="137">
        <v>50000</v>
      </c>
      <c r="H25" s="140">
        <f>G26/G25</f>
        <v>15.6</v>
      </c>
      <c r="I25" s="83"/>
      <c r="J25" s="83"/>
      <c r="K25" s="141" t="s">
        <v>23</v>
      </c>
      <c r="L25" s="142">
        <f>'[1]Ar calculation'!E26</f>
        <v>3.7283666768573942E+18</v>
      </c>
      <c r="M25" s="84"/>
    </row>
    <row r="26" spans="1:13" ht="17" thickBot="1" x14ac:dyDescent="0.25">
      <c r="C26" s="83"/>
      <c r="D26" s="129" t="s">
        <v>25</v>
      </c>
      <c r="E26" s="143">
        <f>F26/G26</f>
        <v>1187435897.4358974</v>
      </c>
      <c r="F26" s="143">
        <v>926200000000000</v>
      </c>
      <c r="G26" s="144">
        <v>780000</v>
      </c>
      <c r="H26" s="145" t="s">
        <v>26</v>
      </c>
      <c r="I26" s="83"/>
      <c r="J26" s="83"/>
      <c r="K26" s="82" t="s">
        <v>24</v>
      </c>
      <c r="L26" s="85">
        <f>L25-I6</f>
        <v>2.0753666768573942E+18</v>
      </c>
      <c r="M26" s="84"/>
    </row>
    <row r="27" spans="1:13" x14ac:dyDescent="0.2">
      <c r="A27" s="82"/>
      <c r="B27" s="83"/>
      <c r="C27" s="83"/>
      <c r="D27" s="83" t="s">
        <v>28</v>
      </c>
      <c r="E27" s="139">
        <f>E26+E25+E24</f>
        <v>8213520511837257</v>
      </c>
      <c r="F27" s="139">
        <f t="shared" ref="F27" si="9">F26+F25+F24</f>
        <v>5.9069923377681007E+20</v>
      </c>
      <c r="G27" s="146">
        <f>ROUND((F27/E27),-3)</f>
        <v>72000</v>
      </c>
      <c r="H27" s="86">
        <f>G26/G27</f>
        <v>10.833333333333334</v>
      </c>
      <c r="I27" s="83"/>
      <c r="J27" s="83"/>
      <c r="K27" s="84"/>
      <c r="L27" s="84"/>
      <c r="M27" s="84"/>
    </row>
    <row r="28" spans="1:13" ht="17" thickBot="1" x14ac:dyDescent="0.25">
      <c r="A28" s="82"/>
      <c r="B28" s="83"/>
      <c r="C28" s="83"/>
      <c r="D28" s="83"/>
      <c r="E28" s="83"/>
      <c r="F28" s="83"/>
      <c r="G28" s="83"/>
      <c r="H28" s="83"/>
      <c r="I28" s="83"/>
      <c r="J28" s="83"/>
      <c r="K28" s="84"/>
      <c r="L28" s="84"/>
      <c r="M28" s="84"/>
    </row>
    <row r="29" spans="1:13" x14ac:dyDescent="0.2">
      <c r="A29" s="82"/>
      <c r="B29" s="83"/>
      <c r="C29" s="83"/>
      <c r="D29" s="133"/>
      <c r="E29" s="122" t="s">
        <v>29</v>
      </c>
      <c r="F29" s="122" t="s">
        <v>30</v>
      </c>
      <c r="G29" s="122" t="s">
        <v>31</v>
      </c>
      <c r="H29" s="134" t="s">
        <v>32</v>
      </c>
      <c r="I29" s="135" t="s">
        <v>33</v>
      </c>
      <c r="J29" s="83"/>
      <c r="K29" s="84"/>
      <c r="L29" s="84"/>
      <c r="M29" s="84"/>
    </row>
    <row r="30" spans="1:13" x14ac:dyDescent="0.2">
      <c r="A30" s="82"/>
      <c r="B30" s="83"/>
      <c r="C30" s="83"/>
      <c r="D30" s="125" t="s">
        <v>15</v>
      </c>
      <c r="E30" s="136">
        <f>G30*12.5</f>
        <v>8438547251097288</v>
      </c>
      <c r="F30" s="136">
        <f>0.062*G30</f>
        <v>41855194365442.547</v>
      </c>
      <c r="G30" s="136">
        <f>L15*H20</f>
        <v>675083780087783</v>
      </c>
      <c r="H30" s="147">
        <f>F30/G30</f>
        <v>6.2E-2</v>
      </c>
      <c r="I30" s="148">
        <v>12.5</v>
      </c>
      <c r="J30" s="146"/>
      <c r="K30" s="149"/>
      <c r="L30" s="84"/>
      <c r="M30" s="84"/>
    </row>
    <row r="31" spans="1:13" x14ac:dyDescent="0.2">
      <c r="A31" s="82"/>
      <c r="B31" s="83"/>
      <c r="C31" s="83"/>
      <c r="D31" s="125" t="s">
        <v>16</v>
      </c>
      <c r="E31" s="136">
        <f>G31*12.9</f>
        <v>2.9754317607369036E+16</v>
      </c>
      <c r="F31" s="136">
        <f>0.0375*G31</f>
        <v>86495109323747.188</v>
      </c>
      <c r="G31" s="136">
        <f>L15*H21</f>
        <v>2306536248633258.5</v>
      </c>
      <c r="H31" s="147">
        <f t="shared" ref="H31" si="10">F31/G31</f>
        <v>3.7499999999999999E-2</v>
      </c>
      <c r="I31" s="148">
        <v>12.9</v>
      </c>
      <c r="J31" s="146"/>
      <c r="K31" s="150"/>
      <c r="L31" s="84"/>
      <c r="M31" s="84"/>
    </row>
    <row r="32" spans="1:13" x14ac:dyDescent="0.2">
      <c r="A32" s="82"/>
      <c r="B32" s="83"/>
      <c r="C32" s="83"/>
      <c r="D32" s="125" t="s">
        <v>25</v>
      </c>
      <c r="E32" s="136">
        <v>3213000000000000</v>
      </c>
      <c r="F32" s="136">
        <f>0.029*G32</f>
        <v>9507857142857.1426</v>
      </c>
      <c r="G32" s="136">
        <f>E32/I32</f>
        <v>327857142857142.81</v>
      </c>
      <c r="H32" s="147">
        <f>F32/G32</f>
        <v>2.9000000000000001E-2</v>
      </c>
      <c r="I32" s="148">
        <v>9.8000000000000007</v>
      </c>
      <c r="J32" s="116"/>
      <c r="K32" s="84"/>
      <c r="L32" s="84"/>
      <c r="M32" s="84"/>
    </row>
    <row r="33" spans="1:13" ht="17" thickBot="1" x14ac:dyDescent="0.25">
      <c r="A33" s="82"/>
      <c r="B33" s="83"/>
      <c r="C33" s="83"/>
      <c r="D33" s="151" t="s">
        <v>28</v>
      </c>
      <c r="E33" s="152">
        <f>E32+E31+E30</f>
        <v>4.140586485846632E+16</v>
      </c>
      <c r="F33" s="152">
        <f>F32+F31+F30</f>
        <v>137858160832046.88</v>
      </c>
      <c r="G33" s="152">
        <f>G32+G31+G30</f>
        <v>3309477171578184.5</v>
      </c>
      <c r="H33" s="153">
        <f>F33/G33</f>
        <v>4.1655570860549766E-2</v>
      </c>
      <c r="I33" s="154">
        <f>E33/G33</f>
        <v>12.51130094326083</v>
      </c>
      <c r="J33" s="116"/>
      <c r="K33" s="149"/>
      <c r="L33" s="84"/>
      <c r="M33" s="84"/>
    </row>
    <row r="34" spans="1:13" ht="17" thickBot="1" x14ac:dyDescent="0.25">
      <c r="A34" s="82"/>
      <c r="B34" s="83"/>
      <c r="C34" s="83"/>
      <c r="D34" s="83"/>
      <c r="E34" s="83"/>
      <c r="F34" s="83"/>
      <c r="G34" s="83"/>
      <c r="H34" s="83"/>
      <c r="I34" s="83"/>
      <c r="J34" s="155"/>
      <c r="K34" s="84"/>
      <c r="L34" s="84"/>
      <c r="M34" s="84"/>
    </row>
    <row r="35" spans="1:13" x14ac:dyDescent="0.2">
      <c r="A35" s="82"/>
      <c r="B35" s="83"/>
      <c r="C35" s="83"/>
      <c r="D35" s="133"/>
      <c r="E35" s="134" t="s">
        <v>34</v>
      </c>
      <c r="F35" s="134" t="s">
        <v>35</v>
      </c>
      <c r="G35" s="134" t="s">
        <v>36</v>
      </c>
      <c r="H35" s="134" t="s">
        <v>37</v>
      </c>
      <c r="I35" s="123" t="s">
        <v>7</v>
      </c>
      <c r="J35" s="83"/>
      <c r="K35" s="84"/>
      <c r="L35" s="84"/>
      <c r="M35" s="84"/>
    </row>
    <row r="36" spans="1:13" x14ac:dyDescent="0.2">
      <c r="A36" s="82"/>
      <c r="B36" s="83"/>
      <c r="C36" s="83"/>
      <c r="D36" s="125" t="s">
        <v>15</v>
      </c>
      <c r="E36" s="136">
        <f>D15</f>
        <v>38913125191076.133</v>
      </c>
      <c r="F36" s="136">
        <f>E36*H36</f>
        <v>7315667535922.3125</v>
      </c>
      <c r="G36" s="136">
        <f>C15</f>
        <v>1.5565250076430454E+18</v>
      </c>
      <c r="H36" s="156">
        <f>0.188</f>
        <v>0.188</v>
      </c>
      <c r="I36" s="157">
        <f>G36/E36</f>
        <v>40000</v>
      </c>
      <c r="J36" s="76">
        <f>E36/E$39</f>
        <v>6.9170303903938234E-3</v>
      </c>
      <c r="K36" s="84"/>
      <c r="L36" s="84"/>
      <c r="M36" s="84"/>
    </row>
    <row r="37" spans="1:13" x14ac:dyDescent="0.2">
      <c r="A37" s="82"/>
      <c r="B37" s="83"/>
      <c r="C37" s="83"/>
      <c r="D37" s="125" t="s">
        <v>16</v>
      </c>
      <c r="E37" s="136">
        <f>G15</f>
        <v>57649074357149.867</v>
      </c>
      <c r="F37" s="136">
        <f t="shared" ref="F37:F38" si="11">E37*H37</f>
        <v>10838025979144.176</v>
      </c>
      <c r="G37" s="136">
        <f>F15</f>
        <v>5.188416692143488E+17</v>
      </c>
      <c r="H37" s="156">
        <f>0.188</f>
        <v>0.188</v>
      </c>
      <c r="I37" s="157">
        <f>G37/E37</f>
        <v>9000</v>
      </c>
      <c r="J37" s="76">
        <f t="shared" ref="J37:J39" si="12">E37/E$39</f>
        <v>1.0247452430213079E-2</v>
      </c>
      <c r="K37" s="84"/>
      <c r="L37" s="84"/>
      <c r="M37" s="84"/>
    </row>
    <row r="38" spans="1:13" x14ac:dyDescent="0.2">
      <c r="A38" s="82"/>
      <c r="B38" s="83"/>
      <c r="C38" s="83"/>
      <c r="D38" s="125" t="s">
        <v>25</v>
      </c>
      <c r="E38" s="136">
        <f>J14</f>
        <v>5529135967849966</v>
      </c>
      <c r="F38" s="136">
        <f t="shared" si="11"/>
        <v>1039477561955793.6</v>
      </c>
      <c r="G38" s="136">
        <f>I14</f>
        <v>1.651E+18</v>
      </c>
      <c r="H38" s="156">
        <f>0.188</f>
        <v>0.188</v>
      </c>
      <c r="I38" s="158">
        <f>G38/E38</f>
        <v>298.60000000000002</v>
      </c>
      <c r="J38" s="76">
        <f t="shared" si="12"/>
        <v>0.9828355171793931</v>
      </c>
      <c r="K38" s="84"/>
      <c r="L38" s="84"/>
      <c r="M38" s="84"/>
    </row>
    <row r="39" spans="1:13" ht="17" thickBot="1" x14ac:dyDescent="0.25">
      <c r="A39" s="82"/>
      <c r="B39" s="83"/>
      <c r="C39" s="83"/>
      <c r="D39" s="151" t="s">
        <v>28</v>
      </c>
      <c r="E39" s="152">
        <f>E38+E37+E36</f>
        <v>5625698167398192</v>
      </c>
      <c r="F39" s="152">
        <f t="shared" ref="F39:G39" si="13">F38+F37+F36</f>
        <v>1057631255470860</v>
      </c>
      <c r="G39" s="152">
        <f t="shared" si="13"/>
        <v>3.7263666768573942E+18</v>
      </c>
      <c r="H39" s="159">
        <f>H38</f>
        <v>0.188</v>
      </c>
      <c r="I39" s="160">
        <f>G39/E39</f>
        <v>662.38297291743743</v>
      </c>
      <c r="J39" s="76">
        <f t="shared" si="12"/>
        <v>1</v>
      </c>
      <c r="K39" s="84"/>
      <c r="L39" s="84"/>
      <c r="M39" s="84"/>
    </row>
    <row r="40" spans="1:13" x14ac:dyDescent="0.2">
      <c r="A40" s="82"/>
      <c r="B40" s="83"/>
      <c r="C40" s="83"/>
      <c r="D40" s="83"/>
      <c r="E40" s="83"/>
      <c r="F40" s="161"/>
      <c r="G40" s="84"/>
      <c r="H40" s="84"/>
      <c r="I40" s="84"/>
      <c r="J40" s="83"/>
      <c r="K40" s="84"/>
      <c r="L40" s="84"/>
      <c r="M40" s="84"/>
    </row>
    <row r="41" spans="1:13" x14ac:dyDescent="0.2">
      <c r="E41" t="s">
        <v>44</v>
      </c>
    </row>
    <row r="42" spans="1:13" x14ac:dyDescent="0.2">
      <c r="G42" s="82" t="s">
        <v>38</v>
      </c>
      <c r="H42" s="124">
        <v>12.9</v>
      </c>
    </row>
    <row r="43" spans="1:13" x14ac:dyDescent="0.2">
      <c r="G43" s="82" t="s">
        <v>39</v>
      </c>
      <c r="H43" s="124">
        <v>10745</v>
      </c>
    </row>
    <row r="44" spans="1:13" x14ac:dyDescent="0.2">
      <c r="G44" s="82" t="s">
        <v>40</v>
      </c>
      <c r="H44" s="124">
        <v>0.20200000000000001</v>
      </c>
    </row>
    <row r="45" spans="1:13" x14ac:dyDescent="0.2">
      <c r="G45" s="82" t="s">
        <v>41</v>
      </c>
      <c r="H45" s="124">
        <v>6.8</v>
      </c>
    </row>
    <row r="46" spans="1:13" x14ac:dyDescent="0.2">
      <c r="G46" s="82" t="s">
        <v>42</v>
      </c>
      <c r="H46" s="124"/>
    </row>
    <row r="47" spans="1:13" x14ac:dyDescent="0.2">
      <c r="G47" s="82" t="s">
        <v>43</v>
      </c>
      <c r="H47" s="124">
        <v>2.8</v>
      </c>
    </row>
  </sheetData>
  <printOptions horizontalCentered="1" verticalCentered="1"/>
  <pageMargins left="0.25" right="0.25" top="0.25" bottom="0.25" header="0.3" footer="0.3"/>
  <pageSetup paperSize="9" scale="93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Table 7</vt:lpstr>
      <vt:lpstr>Ar budget</vt:lpstr>
      <vt:lpstr>alternative budget</vt:lpstr>
      <vt:lpstr>'alternative budget'!Print_Area</vt:lpstr>
      <vt:lpstr>'Ar budget'!Print_Area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F. McDonough</dc:creator>
  <cp:lastModifiedBy>William F. McDonough</cp:lastModifiedBy>
  <dcterms:created xsi:type="dcterms:W3CDTF">2025-11-19T02:01:22Z</dcterms:created>
  <dcterms:modified xsi:type="dcterms:W3CDTF">2025-12-22T01:21:40Z</dcterms:modified>
</cp:coreProperties>
</file>